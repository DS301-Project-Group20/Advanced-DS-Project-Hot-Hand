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=2" sheetId="1" r:id="rId4"/>
    <sheet state="visible" name="k=3" sheetId="2" r:id="rId5"/>
    <sheet state="visible" name="k=4" sheetId="3" r:id="rId6"/>
    <sheet state="visible" name="k=5" sheetId="4" r:id="rId7"/>
    <sheet state="visible" name="k=6" sheetId="5" r:id="rId8"/>
    <sheet state="visible" name="Our Sum" sheetId="6" r:id="rId9"/>
    <sheet state="visible" name="Rank Compare" sheetId="7" r:id="rId10"/>
    <sheet state="visible" name="PW Sum" sheetId="8" r:id="rId11"/>
    <sheet state="visible" name="PW k=2" sheetId="9" r:id="rId12"/>
    <sheet state="visible" name="PW k=3" sheetId="10" r:id="rId13"/>
    <sheet state="visible" name="PW k=4" sheetId="11" r:id="rId14"/>
    <sheet state="visible" name="PW k=5" sheetId="12" r:id="rId15"/>
    <sheet state="visible" name="new data1" sheetId="13" r:id="rId16"/>
    <sheet state="visible" name="new data2" sheetId="14" r:id="rId17"/>
  </sheets>
  <definedNames/>
  <calcPr/>
</workbook>
</file>

<file path=xl/sharedStrings.xml><?xml version="1.0" encoding="utf-8"?>
<sst xmlns="http://schemas.openxmlformats.org/spreadsheetml/2006/main" count="3240" uniqueCount="983">
  <si>
    <t>Player</t>
  </si>
  <si>
    <t># of games</t>
  </si>
  <si>
    <t># of shots</t>
  </si>
  <si>
    <t># of streaks</t>
  </si>
  <si>
    <t>p-value</t>
  </si>
  <si>
    <t>Sim 5% sig level</t>
  </si>
  <si>
    <t>Sim 1% sig level</t>
  </si>
  <si>
    <t>Sim Mean streaks</t>
  </si>
  <si>
    <t>Sim STD Streaks</t>
  </si>
  <si>
    <t>Number of Games Playerd</t>
  </si>
  <si>
    <t>Observed of k-Streak</t>
  </si>
  <si>
    <t>Exp k-Streak</t>
  </si>
  <si>
    <t>N</t>
  </si>
  <si>
    <t>Hot Hand Effect</t>
  </si>
  <si>
    <t>Ben McLemore</t>
  </si>
  <si>
    <t xml:space="preserve">Ben McLemore </t>
  </si>
  <si>
    <t>Marreese Speights</t>
  </si>
  <si>
    <t xml:space="preserve">Robin Lopez </t>
  </si>
  <si>
    <t>Jeremy Lin</t>
  </si>
  <si>
    <t xml:space="preserve">CJ Miles </t>
  </si>
  <si>
    <t>DeMarre Carroll</t>
  </si>
  <si>
    <t xml:space="preserve">Kemba Walker </t>
  </si>
  <si>
    <t>Tristan Thompson</t>
  </si>
  <si>
    <t xml:space="preserve">Rudy Gay </t>
  </si>
  <si>
    <t>Markieff Morris</t>
  </si>
  <si>
    <t xml:space="preserve">Tristan Thompson </t>
  </si>
  <si>
    <t>Aaron Brooks</t>
  </si>
  <si>
    <t xml:space="preserve">Mike Conley </t>
  </si>
  <si>
    <t>Darren Collison</t>
  </si>
  <si>
    <t xml:space="preserve">JJ Hickson </t>
  </si>
  <si>
    <t>Rudy Gay</t>
  </si>
  <si>
    <t xml:space="preserve">Jordan Hill </t>
  </si>
  <si>
    <t>Tim Hardaway Jr.</t>
  </si>
  <si>
    <t xml:space="preserve">Markieff Morris </t>
  </si>
  <si>
    <t>Jerryd Bayless</t>
  </si>
  <si>
    <t xml:space="preserve">Marcus Morris </t>
  </si>
  <si>
    <t>Robin Lopez</t>
  </si>
  <si>
    <t xml:space="preserve">Boris Diaw </t>
  </si>
  <si>
    <t>CJ Miles</t>
  </si>
  <si>
    <t xml:space="preserve">Kyle Korver </t>
  </si>
  <si>
    <t>John Wall</t>
  </si>
  <si>
    <t xml:space="preserve">DeMarre Carroll </t>
  </si>
  <si>
    <t>Boris Diaw</t>
  </si>
  <si>
    <t xml:space="preserve">Tim Duncan </t>
  </si>
  <si>
    <t>JJ Hickson</t>
  </si>
  <si>
    <t xml:space="preserve">Danny Green </t>
  </si>
  <si>
    <t>Timofey Mozgov</t>
  </si>
  <si>
    <t xml:space="preserve">Jeremy Lin </t>
  </si>
  <si>
    <t>Mike Conley</t>
  </si>
  <si>
    <t xml:space="preserve">Kenneth Faried </t>
  </si>
  <si>
    <t>Jordan Hill</t>
  </si>
  <si>
    <t xml:space="preserve">Dwyane Wade </t>
  </si>
  <si>
    <t>Deron Williams</t>
  </si>
  <si>
    <t xml:space="preserve">Tyreke Evans </t>
  </si>
  <si>
    <t>Kenneth Faried</t>
  </si>
  <si>
    <t xml:space="preserve">Jodie Meeks </t>
  </si>
  <si>
    <t>Marcus Morris</t>
  </si>
  <si>
    <t xml:space="preserve">Al Horford </t>
  </si>
  <si>
    <t>Reggie Jackson</t>
  </si>
  <si>
    <t xml:space="preserve">David West </t>
  </si>
  <si>
    <t>Dwyane Wade</t>
  </si>
  <si>
    <t xml:space="preserve">Monta Ellis </t>
  </si>
  <si>
    <t>Chandler Parsons</t>
  </si>
  <si>
    <t>Courtney Lee</t>
  </si>
  <si>
    <t>Anthony Davis</t>
  </si>
  <si>
    <t>Jonas Valanciunas</t>
  </si>
  <si>
    <t>Enes Kanter</t>
  </si>
  <si>
    <t>Danny Green</t>
  </si>
  <si>
    <t>Kawhi Leonard</t>
  </si>
  <si>
    <t>JJ Redick</t>
  </si>
  <si>
    <t>Taj Gibson</t>
  </si>
  <si>
    <t>Jodie Meeks</t>
  </si>
  <si>
    <t>Chris Bosh</t>
  </si>
  <si>
    <t>DeMarcus Cousins</t>
  </si>
  <si>
    <t>Evan Fournier</t>
  </si>
  <si>
    <t>Harrison Barnes</t>
  </si>
  <si>
    <t>Marcin Gortat</t>
  </si>
  <si>
    <t>Al Horford</t>
  </si>
  <si>
    <t>Michael Carter-Williams</t>
  </si>
  <si>
    <t>Avery Bradley</t>
  </si>
  <si>
    <t>Terrence Ross</t>
  </si>
  <si>
    <t>Tim Duncan</t>
  </si>
  <si>
    <t>Gordon Hayward</t>
  </si>
  <si>
    <t>Kyle Korver</t>
  </si>
  <si>
    <t>David West</t>
  </si>
  <si>
    <t>Monta Ellis</t>
  </si>
  <si>
    <t>Trey Burke</t>
  </si>
  <si>
    <t>Nikola Vucevic</t>
  </si>
  <si>
    <t>Gerald Henderson</t>
  </si>
  <si>
    <t>Eric Gordon</t>
  </si>
  <si>
    <t>Lou Williams</t>
  </si>
  <si>
    <t>Blake Griffin</t>
  </si>
  <si>
    <t>O.J. Mayo</t>
  </si>
  <si>
    <t>Kemba Walker</t>
  </si>
  <si>
    <t>Jarrett Jack</t>
  </si>
  <si>
    <t>Tyreke Evans</t>
  </si>
  <si>
    <t>Joakim Noah</t>
  </si>
  <si>
    <t>Serge Ibaka</t>
  </si>
  <si>
    <t>Amir Johnson</t>
  </si>
  <si>
    <t>Wesley Johnson</t>
  </si>
  <si>
    <t>Bradley Beal</t>
  </si>
  <si>
    <t>Greivis Vasquez</t>
  </si>
  <si>
    <t>Channing Frye</t>
  </si>
  <si>
    <t>Kentavious Caldwell-Pope</t>
  </si>
  <si>
    <t>Trevor Ariza</t>
  </si>
  <si>
    <t>Victor Oladipo</t>
  </si>
  <si>
    <t>Dwight Howard</t>
  </si>
  <si>
    <t>Tony Parker</t>
  </si>
  <si>
    <t>Jeff Green</t>
  </si>
  <si>
    <t>Khris Middleton</t>
  </si>
  <si>
    <t>Evan Turner</t>
  </si>
  <si>
    <t>Jimmy Butler</t>
  </si>
  <si>
    <t>Jose Juan Barea</t>
  </si>
  <si>
    <t>Brandon Knight</t>
  </si>
  <si>
    <t>Josh Smith</t>
  </si>
  <si>
    <t>Alec Burks</t>
  </si>
  <si>
    <t>Greg Monroe</t>
  </si>
  <si>
    <t>Mario Chalmers</t>
  </si>
  <si>
    <t>Andre Drummond</t>
  </si>
  <si>
    <t>Thaddeus Young</t>
  </si>
  <si>
    <t>Brandon Jennings</t>
  </si>
  <si>
    <t>Giannis Antetokounmpo</t>
  </si>
  <si>
    <t>Tobias Harris</t>
  </si>
  <si>
    <t>Lance Stephenson</t>
  </si>
  <si>
    <t>Dion Waiters</t>
  </si>
  <si>
    <t>Rodney Stuckey</t>
  </si>
  <si>
    <t>Paul Millsap</t>
  </si>
  <si>
    <t>Carlos Boozer</t>
  </si>
  <si>
    <t>Klay Thompson</t>
  </si>
  <si>
    <t>Marco Belinelli</t>
  </si>
  <si>
    <t>Nene</t>
  </si>
  <si>
    <t>James Harden</t>
  </si>
  <si>
    <t>Eric Bledsoe</t>
  </si>
  <si>
    <t>LaMarcus Aldridge</t>
  </si>
  <si>
    <t>Gerald Green</t>
  </si>
  <si>
    <t>Luol Deng</t>
  </si>
  <si>
    <t>Goran Dragic</t>
  </si>
  <si>
    <t>Spencer Hawes</t>
  </si>
  <si>
    <t>Kevin Durant</t>
  </si>
  <si>
    <t>Chris Paul</t>
  </si>
  <si>
    <t>Jared Sullinger</t>
  </si>
  <si>
    <t>Ersan Ilyasova</t>
  </si>
  <si>
    <t>Stephen Curry</t>
  </si>
  <si>
    <t>D.J. Augustin</t>
  </si>
  <si>
    <t>Roy Hibbert</t>
  </si>
  <si>
    <t>Damian Lillard</t>
  </si>
  <si>
    <t>Carmelo Anthony</t>
  </si>
  <si>
    <t>Tony Wroten</t>
  </si>
  <si>
    <t>Wesley Matthews</t>
  </si>
  <si>
    <t>Kevin Martin</t>
  </si>
  <si>
    <t>Mo Williams</t>
  </si>
  <si>
    <t>Ty Lawson</t>
  </si>
  <si>
    <t>J.R. Smith</t>
  </si>
  <si>
    <t>Vince Carter</t>
  </si>
  <si>
    <t>Luis Scola</t>
  </si>
  <si>
    <t>Brandon Bass</t>
  </si>
  <si>
    <t>George Hill</t>
  </si>
  <si>
    <t>Paul Pierce</t>
  </si>
  <si>
    <t>Nicolas Batum</t>
  </si>
  <si>
    <t>PJ Tucker</t>
  </si>
  <si>
    <t>Matt Barnes</t>
  </si>
  <si>
    <t>Jose Calderon</t>
  </si>
  <si>
    <t>Russell Westbrook</t>
  </si>
  <si>
    <t>Draymond Green</t>
  </si>
  <si>
    <t>Marc Gasol</t>
  </si>
  <si>
    <t>Dirk Nowitzki</t>
  </si>
  <si>
    <t>Derrick Favors</t>
  </si>
  <si>
    <t>Jeff Teague</t>
  </si>
  <si>
    <t>LeBron James</t>
  </si>
  <si>
    <t>Anthony Morrow</t>
  </si>
  <si>
    <t>Joe Johnson</t>
  </si>
  <si>
    <t>Randy Foye</t>
  </si>
  <si>
    <t>David Lee</t>
  </si>
  <si>
    <t>Zach Randolph</t>
  </si>
  <si>
    <t>Kyle Lowry</t>
  </si>
  <si>
    <t>Kyrie Irving</t>
  </si>
  <si>
    <t>Arron Afflalo</t>
  </si>
  <si>
    <t>Kevin Love</t>
  </si>
  <si>
    <t>DeMar DeRozan</t>
  </si>
  <si>
    <t>Wilson Chandler</t>
  </si>
  <si>
    <t>Jameer Nelson</t>
  </si>
  <si>
    <t>Al Jefferson</t>
  </si>
  <si>
    <t>Isaiah Thomas</t>
  </si>
  <si>
    <t>Nick Young</t>
  </si>
  <si>
    <t>Andrew Wiggins</t>
  </si>
  <si>
    <t>Pau Gasol</t>
  </si>
  <si>
    <t>Mike Dunleavy</t>
  </si>
  <si>
    <t>Corey Brewer</t>
  </si>
  <si>
    <t>Manu Ginobili</t>
  </si>
  <si>
    <t>Jamal Crawford</t>
  </si>
  <si>
    <t>Paul George</t>
  </si>
  <si>
    <t>No. games</t>
  </si>
  <si>
    <t>Obs 4-streaks</t>
  </si>
  <si>
    <t>Exp 4-streaks</t>
  </si>
  <si>
    <t xml:space="preserve">k = 2 </t>
  </si>
  <si>
    <t>k = 3</t>
  </si>
  <si>
    <t>k = 4</t>
  </si>
  <si>
    <t>k = 5</t>
  </si>
  <si>
    <t>k = 6</t>
  </si>
  <si>
    <t>WA rank</t>
  </si>
  <si>
    <t>Streak Number</t>
  </si>
  <si>
    <t># of Players with p-value &lt; 5%</t>
  </si>
  <si>
    <t>% of Total Number of Players</t>
  </si>
  <si>
    <t>WA rank - Our</t>
  </si>
  <si>
    <t>Rank 1 - Our</t>
  </si>
  <si>
    <t>Rank 2 - PW</t>
  </si>
  <si>
    <t>WA rank - PW</t>
  </si>
  <si>
    <t>PW Rank</t>
  </si>
  <si>
    <t>Our Rank</t>
  </si>
  <si>
    <t>denominator</t>
  </si>
  <si>
    <t>Sim P[M|(k-1)M]</t>
  </si>
  <si>
    <t>Adj P[M|(k-1)M]</t>
  </si>
  <si>
    <t>p-value (only pos adj meaningful)</t>
  </si>
  <si>
    <t>k =  2</t>
  </si>
  <si>
    <t>LaMarcus Aldridge ,  76 ,  1463 , 296 ,  0.04571052631578947 ,  294.0 ,  317.0 ,  160.64442105263157 ,  85.95993396823147</t>
  </si>
  <si>
    <t>Randy Foye ,  95 ,  835 , 125 ,  0.06970526315789474 ,  128.0 ,  141.0 ,  70.38966315789473 ,  38.1642408337026</t>
  </si>
  <si>
    <t>Rudy Gay ,  100 ,  1547 , 331 ,  0.0076 ,  304.0 ,  327.0 ,  164.23042 ,  94.11847558595284</t>
  </si>
  <si>
    <t>JJ Redick ,  93 ,  1072 , 211 ,  0.018774193548387098 ,  197.0 ,  217.0 ,  103.4150752688172 ,  59.448700869757126</t>
  </si>
  <si>
    <t>Mike Dunleavy ,  123 ,  1025 , 149 ,  0.09848780487804878 ,  159.0 ,  175.0 ,  84.5070731707317 ,  47.57846098782784</t>
  </si>
  <si>
    <t>Kyle Lowry ,  91 ,  1222 , 183 ,  0.07380219780219781 ,  189.0 ,  208.0 ,  93.08665934065934 ,  57.94789802713359</t>
  </si>
  <si>
    <t>PJ Tucker ,  130 ,  926 , 148 ,  0.059 ,  150.0 ,  163.0 ,  78.16761538461539 ,  46.55531281429313</t>
  </si>
  <si>
    <t>Paul Millsap ,  107 ,  1415 , 283 ,  0.043121495327102806 ,  280.0 ,  301.0 ,  150.1545046728972 ,  83.07676248358894</t>
  </si>
  <si>
    <t>Jose Juan Barea ,  124 ,  890 , 119 ,  0.03711290322580645 ,  116.0 ,  128.0 ,  61.645467741935484 ,  34.86216916854222</t>
  </si>
  <si>
    <t>Pau Gasol ,  102 ,  1501 , 299 ,  0.09733333333333333 ,  317.0 ,  344.0 ,  166.33180392156862 ,  96.7920361346883</t>
  </si>
  <si>
    <t>Joe Johnson ,  98 ,  1167 , 208 ,  0.06948979591836735 ,  213.0 ,  232.0 ,  111.89418367346939 ,  64.08600190088107</t>
  </si>
  <si>
    <t>Zach Randolph ,  107 ,  1485 , 319 ,  0.0716448598130841 ,  328.0 ,  353.0 ,  178.0369906542056 ,  95.85948749065933</t>
  </si>
  <si>
    <t>Tony Parker ,  108 ,  1378 , 302 ,  0.03585185185185185 ,  295.0 ,  320.0 ,  163.52398148148148 ,  88.12743539518775</t>
  </si>
  <si>
    <t>Chris Paul ,  98 ,  1270 , 278 ,  0.04830612244897959 ,  277.0 ,  298.0 ,  150.6802857142857 ,  84.65794432820556</t>
  </si>
  <si>
    <t>Anthony Davis ,  89 ,  1343 , 347 ,  0.016853932584269662 ,  327.0 ,  353.0 ,  167.32076404494381 ,  100.37117646756788</t>
  </si>
  <si>
    <t>Bradley Beal ,  114 ,  1602 , 274 ,  0.03219298245614035 ,  267.0 ,  288.0 ,  142.91491228070174 ,  79.56783129898592</t>
  </si>
  <si>
    <t>Dion Waiters ,  111 ,  1395 , 219 ,  0.04299099099099099 ,  216.0 ,  235.0 ,  112.34446846846846 ,  65.39104278576207</t>
  </si>
  <si>
    <t>Damian Lillard ,  94 ,  1393 , 239 ,  0.050617021276595744 ,  239.0 ,  259.0 ,  123.68510638297872 ,  70.93428057828524</t>
  </si>
  <si>
    <t>Terrence Ross ,  131 ,  1129 , 175 ,  0.022732824427480917 ,  165.0 ,  182.0 ,  80.34948091603053 ,  51.976651104470896</t>
  </si>
  <si>
    <t>Andre Drummond ,  136 ,  1406 , 413 ,  0.03795588235294118 ,  406.0 ,  435.0 ,  209.4518382352941 ,  123.19513050621936</t>
  </si>
  <si>
    <t>Harrison Barnes ,  134 ,  1068 , 194 ,  0.020671641791044776 ,  182.0 ,  201.0 ,  90.56155223880597 ,  54.69653133133861</t>
  </si>
  <si>
    <t>Evan Fournier ,  104 ,  793 , 129 ,  0.020192307692307693 ,  119.0 ,  134.0 ,  53.98267307692308 ,  36.7885505256423</t>
  </si>
  <si>
    <t>Jared Sullinger ,  93 ,  1043 , 168 ,  0.04840860215053763 ,  167.0 ,  185.0 ,  89.02752688172043 ,  49.71616443081307</t>
  </si>
  <si>
    <t>Tony Wroten ,  52 ,  603 , 103 ,  0.05169230769230769 ,  103.0 ,  115.0 ,  54.87380769230769 ,  30.263035947046827</t>
  </si>
  <si>
    <t>Nene ,  109 ,  1080 , 242 ,  0.044513761467889906 ,  240.0 ,  259.0 ,  128.70416513761467 ,  73.26877293389582</t>
  </si>
  <si>
    <t>Draymond Green ,  134 ,  978 , 145 ,  0.06250746268656716 ,  148.0 ,  164.0 ,  64.02310447761194 ,  46.405809632799766</t>
  </si>
  <si>
    <t>Khris Middleton ,  124 ,  1258 , 242 ,  0.03667741935483871 ,  237.0 ,  256.0 ,  123.24354838709678 ,  71.65707542438982</t>
  </si>
  <si>
    <t>Carlos Boozer ,  101 ,  1133 , 231 ,  0.0439009900990099 ,  229.0 ,  248.01000000000204 ,  125.28988118811881 ,  70.61815089779331</t>
  </si>
  <si>
    <t>Matt Barnes ,  121 ,  991 , 161 ,  0.059553719008264464 ,  163.0 ,  180.0 ,  84.19165289256199 ,  49.38698874803489</t>
  </si>
  <si>
    <t>Luis Scola ,  132 ,  920 , 163 ,  0.0545 ,  164.0 ,  182.0 ,  79.29083333333334 ,  51.35064964537961</t>
  </si>
  <si>
    <t>Victor Oladipo ,  97 ,  1183 , 194 ,  0.03416494845360825 ,  188.0 ,  207.0 ,  87.28428865979382 ,  59.03417466092041</t>
  </si>
  <si>
    <t>Kevin Durant ,  64 ,  1189 , 288 ,  0.04753125 ,  287.0 ,  307.0 ,  157.8830625 ,  85.96655825448111</t>
  </si>
  <si>
    <t>Al Horford ,  81 ,  1006 , 277 ,  0.021185185185185185 ,  264.0 ,  286.0 ,  143.21562962962963 ,  77.50277858920937</t>
  </si>
  <si>
    <t>Mike Conley ,  85 ,  1047 , 214 ,  0.012776470588235294 ,  198.0 ,  216.0 ,  106.43421176470588 ,  60.00224251811106</t>
  </si>
  <si>
    <t>Jeff Green ,  113 ,  1418 , 242 ,  0.03605309734513274 ,  236.0 ,  257.0 ,  125.14681415929203 ,  70.41878510142129</t>
  </si>
  <si>
    <t>Corey Brewer ,  99 ,  905 , 144 ,  0.11771717171717172 ,  157.0 ,  172.0 ,  82.33280808080808 ,  47.024676376093204</t>
  </si>
  <si>
    <t>Joakim Noah ,  121 ,  972 , 190 ,  0.030446280991735537 ,  184.0 ,  199.0 ,  100.93393388429752 ,  56.14777505416237</t>
  </si>
  <si>
    <t>Spencer Hawes ,  126 ,  1040 , 176 ,  0.047063492063492064 ,  175.0 ,  190.0 ,  102.45969841269842 ,  51.65793070142753</t>
  </si>
  <si>
    <t>Thaddeus Young ,  130 ,  1835 , 355 ,  0.03915384615384616 ,  350.0 ,  376.0 ,  190.44173846153845 ,  104.80212852826355</t>
  </si>
  <si>
    <t>Rodney Stuckey ,  96 ,  996 , 178 ,  0.043041666666666666 ,  175.0 ,  193.0 ,  93.25039583333333 ,  52.77831733859385</t>
  </si>
  <si>
    <t>Nick Young ,  58 ,  715 , 112 ,  0.09179310344827586 ,  118.0 ,  130.0 ,  65.63648275862069 ,  35.44942380799254</t>
  </si>
  <si>
    <t>Marco Belinelli ,  107 ,  816 , 160 ,  0.04424299065420561 ,  158.0 ,  173.0 ,  86.6953831775701 ,  47.666838462030654</t>
  </si>
  <si>
    <t>Wilson Chandler ,  119 ,  1445 , 220 ,  0.08341176470588235 ,  231.0 ,  254.0 ,  115.09426890756302 ,  69.91826275240427</t>
  </si>
  <si>
    <t>Aaron Brooks ,  98 ,  888 , 149 ,  0.006326530612244898 ,  129.0 ,  145.0 ,  66.73914285714285 ,  38.53359512880962</t>
  </si>
  <si>
    <t>Arron Afflalo ,  115 ,  1393 , 251 ,  0.07589565217391304 ,  258.0 ,  279.0 ,  140.56890434782608 ,  78.56027694108784</t>
  </si>
  <si>
    <t>Marc Gasol ,  106 ,  1328 , 277 ,  0.06326415094339623 ,  282.0 ,  307.0 ,  143.33937735849057 ,  87.58391906972602</t>
  </si>
  <si>
    <t>LeBron James ,  71 ,  1154 , 286 ,  0.06563380281690141 ,  291.0 ,  315.0 ,  153.36574647887323 ,  88.30058860405774</t>
  </si>
  <si>
    <t>Chris Bosh ,  104 ,  1419 , 325 ,  0.019884615384615386 ,  308.0 ,  334.0 ,  155.98767307692307 ,  93.15131415506814</t>
  </si>
  <si>
    <t>Dwyane Wade ,  86 ,  1322 , 322 ,  0.016209302325581397 ,  304.0 ,  327.0 ,  159.1917906976744 ,  91.32444733719753</t>
  </si>
  <si>
    <t>David West ,  124 ,  1324 , 288 ,  0.02596774193548387 ,  278.0 ,  299.0 ,  145.30422580645163 ,  84.43024795201855</t>
  </si>
  <si>
    <t>Boris Diaw ,  134 ,  983 , 212 ,  0.011238805970149254 ,  196.0 ,  213.0 ,  101.16228358208956 ,  59.33230834286422</t>
  </si>
  <si>
    <t>Mo Williams ,  81 ,  783 , 119 ,  0.053481481481481484 ,  119.0 ,  133.0 ,  60.711506172839506 ,  35.50269377299208</t>
  </si>
  <si>
    <t>Kyle Korver ,  128 ,  1015 , 210 ,  0.025 ,  200.0 ,  218.0 ,  107.660359375 ,  59.787784892658884</t>
  </si>
  <si>
    <t>Jarrett Jack ,  93 ,  767 , 124 ,  0.029612903225806453 ,  118.0 ,  131.0 ,  56.611655913978495 ,  37.840898191872064</t>
  </si>
  <si>
    <t>Dwight Howard ,  96 ,  1000 , 317 ,  0.0353125 ,  311.0 ,  333.0 ,  169.48229166666667 ,  93.16614291906116</t>
  </si>
  <si>
    <t>Luol Deng ,  112 ,  1304 , 231 ,  0.04655357142857143 ,  229.0 ,  250.0 ,  124.72807142857143 ,  68.74861519017185</t>
  </si>
  <si>
    <t>Al Jefferson ,  105 ,  1737 , 379 ,  0.08664761904761904 ,  394.0 ,  422.0 ,  215.59112380952382 ,  117.93013000551642</t>
  </si>
  <si>
    <t>Josh Smith ,  128 ,  1741 , 272 ,  0.03725 ,  266.0 ,  290.0 ,  143.04203125 ,  79.84602691821318</t>
  </si>
  <si>
    <t>J.R. Smith ,  91 ,  949 , 149 ,  0.054131868131868134 ,  150.0 ,  165.0 ,  77.0869010989011 ,  44.78589122251129</t>
  </si>
  <si>
    <t>Jameer Nelson ,  95 ,  804 , 105 ,  0.08648421052631579 ,  109.0 ,  120.0 ,  61.743747368421054 ,  33.37063218585386</t>
  </si>
  <si>
    <t>Kevin Martin ,  77 ,  1134 , 184 ,  0.05220779220779221 ,  184.0 ,  201.0 ,  97.39041558441558 ,  56.30826486897428</t>
  </si>
  <si>
    <t>Ben McLemore ,  124 ,  1096 , 194 ,  0.0011290322580645162 ,  162.0 ,  178.0 ,  79.33851612903226 ,  49.75264836904274</t>
  </si>
  <si>
    <t>Trevor Ariza ,  126 ,  1327 , 235 ,  0.032984126984126984 ,  228.0 ,  248.0 ,  115.84490476190476 ,  70.47154481070217</t>
  </si>
  <si>
    <t>Kentavious Caldwell-Pope ,  125 ,  1078 , 151 ,  0.032624 ,  145.0 ,  162.0 ,  67.023264 ,  45.7891994556173</t>
  </si>
  <si>
    <t>Michael Carter-Williams ,  103 ,  1419 , 218 ,  0.022135922330097087 ,  207.0 ,  225.0 ,  111.45712621359223 ,  62.492538169664556</t>
  </si>
  <si>
    <t>Tim Hardaway Jr. ,  114 ,  1024 , 171 ,  0.00787719298245614 ,  156.0 ,  169.0 ,  78.49985964912281 ,  49.402324328953476</t>
  </si>
  <si>
    <t>Trey Burke ,  97 ,  1192 , 161 ,  0.026927835051546393 ,  153.0 ,  170.0 ,  76.34736082474227 ,  46.517671403764055</t>
  </si>
  <si>
    <t>Giannis Antetokounmpo ,  117 ,  817 , 144 ,  0.04092307692307692 ,  141.0 ,  158.0 ,  60.135880341880345 ,  44.961189510217764</t>
  </si>
  <si>
    <t>Channing Frye ,  129 ,  996 , 154 ,  0.032434108527131786 ,  149.0 ,  162.0 ,  84.05153488372093 ,  45.89461482284338</t>
  </si>
  <si>
    <t>Deron Williams ,  98 ,  1080 , 185 ,  0.013122448979591837 ,  168.0 ,  187.0 ,  87.04634693877551 ,  50.776556487181765</t>
  </si>
  <si>
    <t>Gerald Green ,  113 ,  1205 , 196 ,  0.04601769911504425 ,  194.0 ,  212.0 ,  102.54900884955752 ,  59.84836788046667</t>
  </si>
  <si>
    <t>David Lee ,  95 ,  1032 , 260 ,  0.06974736842105263 ,  264.0 ,  283.0 ,  159.17301052631578 ,  79.8614906473102</t>
  </si>
  <si>
    <t>Brandon Bass ,  136 ,  1113 , 238 ,  0.055161764705882355 ,  239.0 ,  258.0 ,  120.14113235294117 ,  74.07132021719188</t>
  </si>
  <si>
    <t>CJ Miles ,  91 ,  869 , 151 ,  0.009538461538461539 ,  136.0 ,  150.0 ,  66.21914285714286 ,  41.361542345509456</t>
  </si>
  <si>
    <t>Ersan Ilyasova ,  88 ,  876 , 153 ,  0.04847727272727273 ,  152.0 ,  166.0 ,  84.04804545454546 ,  45.931537598688685</t>
  </si>
  <si>
    <t>Monta Ellis ,  109 ,  1642 , 321 ,  0.02636697247706422 ,  309.0 ,  334.0 ,  160.8844770642202 ,  95.68854318387935</t>
  </si>
  <si>
    <t>Lou Williams ,  77 ,  733 , 111 ,  0.028805194805194806 ,  105.0 ,  119.0 ,  49.038545454545456 ,  33.40091172196237</t>
  </si>
  <si>
    <t>Amir Johnson ,  132 ,  947 , 257 ,  0.03127272727272727 ,  250.0 ,  269.0 ,  131.13872727272727 ,  74.25951482889307</t>
  </si>
  <si>
    <t>Marcin Gortat ,  137 ,  1344 , 368 ,  0.021065693430656934 ,  350.0 ,  378.0 ,  177.20779562043796 ,  106.49044316375861</t>
  </si>
  <si>
    <t>Jose Calderon ,  105 ,  921 , 151 ,  0.05965714285714286 ,  153.0 ,  167.0 ,  81.95975238095238 ,  45.831039587303394</t>
  </si>
  <si>
    <t>O.J. Mayo ,  85 ,  764 , 119 ,  0.029270588235294118 ,  113.0 ,  127.0 ,  58.5636705882353 ,  33.003131654395624</t>
  </si>
  <si>
    <t>Russell Westbrook ,  62 ,  1127 , 184 ,  0.06193548387096774 ,  187.0 ,  208.0 ,  97.1203870967742 ,  56.8481533491194</t>
  </si>
  <si>
    <t>Kevin Love ,  107 ,  1579 , 279 ,  0.0817196261682243 ,  289.0 ,  310.0 ,  162.39910280373832 ,  86.75127797889054</t>
  </si>
  <si>
    <t>Eric Gordon ,  105 ,  1223 , 196 ,  0.028457142857142858 ,  189.0 ,  206.0 ,  104.3400380952381 ,  56.64862081957913</t>
  </si>
  <si>
    <t>D.J. Augustin ,  107 ,  864 , 135 ,  0.050205607476635515 ,  135.0 ,  147.0 ,  75.17714018691589 ,  37.58486527832305</t>
  </si>
  <si>
    <t>Jerryd Bayless ,  113 ,  799 , 133 ,  0.009079646017699115 ,  119.0 ,  132.0 ,  64.75345132743362 ,  35.65111910442747</t>
  </si>
  <si>
    <t>Robin Lopez ,  122 ,  907 , 251 ,  0.009098360655737705 ,  230.0 ,  250.0 ,  124.03540983606557 ,  70.32099347415884</t>
  </si>
  <si>
    <t>Marreese Speights ,  117 ,  766 , 167 ,  0.0030085470085470085 ,  146.0 ,  160.0 ,  67.52707692307692 ,  46.359011167332795</t>
  </si>
  <si>
    <t>Roy Hibbert ,  142 ,  1272 , 221 ,  0.050577464788732394 ,  221.0 ,  238.0 ,  114.869 ,  68.40046418681551</t>
  </si>
  <si>
    <t>JJ Hickson ,  116 ,  912 , 212 ,  0.011275862068965517 ,  197.0 ,  212.0 ,  114.04672413793104 ,  58.97361294470169</t>
  </si>
  <si>
    <t>Courtney Lee ,  126 ,  968 , 190 ,  0.016825396825396827 ,  179.0 ,  194.0 ,  92.94457142857142 ,  53.45287532073856</t>
  </si>
  <si>
    <t>Serge Ibaka ,  120 ,  1385 , 348 ,  0.031183333333333334 ,  338.0 ,  364.0 ,  185.1102 ,  101.65536773477992</t>
  </si>
  <si>
    <t>Nicolas Batum ,  140 ,  1266 , 210 ,  0.058885714285714284 ,  212.0 ,  229.0 ,  114.74105714285714 ,  64.8140591452383</t>
  </si>
  <si>
    <t>George Hill ,  88 ,  808 , 144 ,  0.05761363636363637 ,  145.0 ,  160.0 ,  72.08447727272727 ,  44.228032810850465</t>
  </si>
  <si>
    <t>Mario Chalmers ,  111 ,  846 , 150 ,  0.03790990990990991 ,  146.0 ,  162.0 ,  76.00684684684684 ,  42.95461787007226</t>
  </si>
  <si>
    <t>Goran Dragic ,  110 ,  1448 , 335 ,  0.046654545454545455 ,  333.0 ,  358.0 ,  177.2658909090909 ,  102.03999426351018</t>
  </si>
  <si>
    <t>Anthony Morrow ,  114 ,  818 , 132 ,  0.0682280701754386 ,  136.0 ,  151.0 ,  65.03182456140351 ,  41.77264954913904</t>
  </si>
  <si>
    <t>Carmelo Anthony ,  65 ,  1301 , 256 ,  0.05076923076923077 ,  256.0 ,  279.0 ,  133.8899076923077 ,  76.82542489601354</t>
  </si>
  <si>
    <t>Blake Griffin ,  115 ,  1905 , 479 ,  0.028921739130434783 ,  465.0 ,  497.0 ,  248.6764347826087 ,  141.34086267626867</t>
  </si>
  <si>
    <t>James Harden ,  75 ,  1173 , 222 ,  0.04496 ,  220.0 ,  240.0 ,  110.08965333333333 ,  69.60325214346301</t>
  </si>
  <si>
    <t>Tyreke Evans ,  79 ,  1004 , 211 ,  0.02969620253164557 ,  203.0 ,  223.0 ,  98.29954430379748 ,  64.59644301681983</t>
  </si>
  <si>
    <t>Stephen Curry ,  92 ,  1467 , 314 ,  0.04917391304347826 ,  313.0 ,  336.0 ,  162.92313043478262 ,  96.11517006777285</t>
  </si>
  <si>
    <t>Jordan Hill ,  106 ,  908 , 221 ,  0.013018867924528301 ,  203.0 ,  223.0 ,  100.56907547169811 ,  61.29539536319309</t>
  </si>
  <si>
    <t>DeMar DeRozan ,  94 ,  1583 , 238 ,  0.082 ,  248.0 ,  269.0 ,  127.72989361702128 ,  76.17717310399712</t>
  </si>
  <si>
    <t>Brandon Jennings ,  77 ,  977 , 127 ,  0.039714285714285716 ,  124.0 ,  138.0 ,  64.63228571428571 ,  37.48791710753245</t>
  </si>
  <si>
    <t>Gerald Henderson ,  133 ,  1457 , 264 ,  0.028360902255639097 ,  255.0 ,  276.0 ,  138.1012030075188 ,  75.84540062222135</t>
  </si>
  <si>
    <t>Ty Lawson ,  78 ,  927 , 149 ,  0.05374358974358975 ,  149.0 ,  165.0 ,  79.60887179487179 ,  44.496431355138334</t>
  </si>
  <si>
    <t>Jeff Teague ,  107 ,  1301 , 228 ,  0.06420560747663552 ,  232.0 ,  251.0 ,  123.23469158878504 ,  69.71127708988706</t>
  </si>
  <si>
    <t>Darren Collison ,  80 ,  710 , 149 ,  0.00645 ,  131.0 ,  146.0 ,  67.043225 ,  39.18065602563815</t>
  </si>
  <si>
    <t>Taj Gibson ,  123 ,  1157 , 250 ,  0.018991869918699188 ,  237.0 ,  256.0 ,  131.82764227642275 ,  69.66198564521855</t>
  </si>
  <si>
    <t>DeMarre Carroll ,  114 ,  1004 , 219 ,  0.004508771929824561 ,  195.0 ,  213.0 ,  101.90070175438596 ,  58.13858246842079</t>
  </si>
  <si>
    <t>Jodie Meeks ,  112 ,  1116 , 203 ,  0.019214285714285715 ,  192.0 ,  208.0 ,  112.32344642857143 ,  56.383378758859315</t>
  </si>
  <si>
    <t>Danny Green ,  111 ,  864 , 148 ,  0.017963963963963964 ,  136.04999999999563 ,  152.0 ,  66.93949549549549 ,  41.38590542725583</t>
  </si>
  <si>
    <t>Wesley Matthews ,  110 ,  1291 , 224 ,  0.05216363636363636 ,  224.0 ,  245.0 ,  113.57656363636363 ,  67.93677509815181</t>
  </si>
  <si>
    <t>Tim Duncan ,  119 ,  1313 , 315 ,  0.023058823529411764 ,  302.0 ,  325.0 ,  159.94240336134453 ,  90.1079389722154</t>
  </si>
  <si>
    <t>John Wall ,  62 ,  869 , 173 ,  0.010064516129032258 ,  156.0 ,  173.0 ,  79.58558064516129 ,  47.51112975026717</t>
  </si>
  <si>
    <t>Evan Turner ,  129 ,  1299 , 205 ,  0.0368062015503876 ,  200.0 ,  218.0 ,  110.72970542635659 ,  59.48886179174693</t>
  </si>
  <si>
    <t>Derrick Favors ,  129 ,  1420 , 333 ,  0.06370542635658914 ,  338.0 ,  364.0 ,  168.00472868217054 ,  103.91661695785302</t>
  </si>
  <si>
    <t>Wesley Johnson ,  113 ,  945 , 146 ,  0.032123893805309736 ,  140.0 ,  157.0 ,  72.75272566371682 ,  43.12735171584368</t>
  </si>
  <si>
    <t>DeMarcus Cousins ,  94 ,  1574 , 329 ,  0.019914893617021277 ,  312.0 ,  338.0 ,  160.37836170212765 ,  95.73447950360736</t>
  </si>
  <si>
    <t>Greg Monroe ,  121 ,  1474 , 314 ,  0.03783471074380165 ,  308.0 ,  334.0 ,  159.1741652892562 ,  93.8362834739531</t>
  </si>
  <si>
    <t>Gordon Hayward ,  97 ,  1243 , 194 ,  0.02356701030927835 ,  184.0 ,  202.0 ,  94.5480618556701 ,  56.25673384075157</t>
  </si>
  <si>
    <t>Paul George ,  37 ,  540 , 85 ,  0.15275675675675676 ,  97.0 ,  109.0 ,  50.092 ,  29.85968937402922</t>
  </si>
  <si>
    <t>Eric Bledsoe ,  84 ,  1015 , 201 ,  0.04533333333333334 ,  199.0 ,  216.0 ,  107.95190476190476 ,  60.672436835930505</t>
  </si>
  <si>
    <t>Avery Bradley ,  102 ,  1268 , 231 ,  0.02235294117647059 ,  220.0 ,  239.0 ,  116.54488235294117 ,  67.41829321544856</t>
  </si>
  <si>
    <t>Greivis Vasquez ,  136 ,  1151 , 189 ,  0.03238235294117647 ,  182.0 ,  202.0 ,  92.23157352941176 ,  54.27351109015721</t>
  </si>
  <si>
    <t>Lance Stephenson ,  117 ,  1156 , 209 ,  0.04283760683760684 ,  206.0 ,  224.0 ,  114.18586324786325 ,  63.714776574970365</t>
  </si>
  <si>
    <t>Timofey Mozgov ,  143 ,  917 , 240 ,  0.01206993006993007 ,  222.0 ,  241.0 ,  114.29394405594405 ,  66.69406272290196</t>
  </si>
  <si>
    <t>Jeremy Lin ,  97 ,  839 , 148 ,  0.00420618556701031 ,  129.0 ,  143.0 ,  70.24843298969073 ,  38.71261219428758</t>
  </si>
  <si>
    <t>Vince Carter ,  113 ,  888 , 116 ,  0.0544070796460177 ,  116.0 ,  127.0 ,  67.41203539823009 ,  34.12752653707224</t>
  </si>
  <si>
    <t>Dirk Nowitzki ,  122 ,  1782 , 350 ,  0.06365573770491803 ,  356.0 ,  384.0 ,  185.41998360655737 ,  108.39039137137145</t>
  </si>
  <si>
    <t>Paul Pierce ,  125 ,  1074 , 207 ,  0.05816 ,  209.0 ,  227.0 ,  109.400416 ,  65.29930586941138</t>
  </si>
  <si>
    <t>Manu Ginobili ,  73 ,  543 , 92 ,  0.12021917808219178 ,  100.0 ,  110.0 ,  54.96909589041096 ,  30.14207960218123</t>
  </si>
  <si>
    <t>Isaiah Thomas ,  64 ,  757 , 122 ,  0.09140625 ,  129.0 ,  143.0 ,  72.961625 ,  36.22279102801681</t>
  </si>
  <si>
    <t>Kyrie Irving ,  91 ,  1398 , 257 ,  0.07507692307692308 ,  265.0 ,  286.0 ,  139.5218901098901 ,  78.8361195176634</t>
  </si>
  <si>
    <t>Enes Kanter ,  136 ,  1539 , 364 ,  0.017294117647058824 ,  343.0 ,  370.0 ,  169.711 ,  107.00159142384423</t>
  </si>
  <si>
    <t>Tristan Thompson ,  140 ,  1033 , 252 ,  0.004957142857142857 ,  229.0 ,  246.0 ,  127.02854285714285 ,  68.75286165175459</t>
  </si>
  <si>
    <t>Jonas Valanciunas ,  141 ,  1140 , 303 ,  0.01720567375886525 ,  283.0 ,  309.00999999999476 ,  142.74675177304965 ,  84.17854315528923</t>
  </si>
  <si>
    <t>Brandon Knight ,  98 ,  1404 , 229 ,  0.03720408163265306 ,  224.0 ,  244.0 ,  119.37871428571428 ,  68.21398073215292</t>
  </si>
  <si>
    <t>Kemba Walker ,  59 ,  844 , 142 ,  0.02959322033898305 ,  137.0 ,  150.0 ,  71.40393220338983 ,  42.376238442525505</t>
  </si>
  <si>
    <t>Klay Thompson ,  114 ,  1786 , 364 ,  0.04408771929824561 ,  360.0 ,  388.0 ,  179.05861403508771 ,  108.18884781928804</t>
  </si>
  <si>
    <t>Alec Burks ,  65 ,  669 , 124 ,  0.037507692307692304 ,  121.0 ,  134.0 ,  65.35193846153847 ,  35.15008109318884</t>
  </si>
  <si>
    <t>Markieff Morris ,  114 ,  1316 , 280 ,  0.005105263157894737 ,  253.0 ,  274.0 ,  122.90707017543859 ,  77.9081585654882</t>
  </si>
  <si>
    <t>Marcus Morris ,  120 ,  958 , 182 ,  0.015283333333333333 ,  168.0 ,  185.0 ,  81.97156666666666 ,  52.57556109904001</t>
  </si>
  <si>
    <t>Kawhi Leonard ,  103 ,  1136 , 256 ,  0.018310679611650487 ,  242.0 ,  262.0 ,  121.14766990291263 ,  73.27367505274795</t>
  </si>
  <si>
    <t>Nikola Vucevic ,  95 ,  1349 , 318 ,  0.02696842105263158 ,  304.0 ,  332.01000000000204 ,  147.3695789473684 ,  94.02999018136143</t>
  </si>
  <si>
    <t>Tobias Harris ,  101 ,  1295 , 260 ,  0.041584158415841586 ,  256.0 ,  278.0 ,  130.69241584158416 ,  77.13770909394911</t>
  </si>
  <si>
    <t>Kenneth Faried ,  127 ,  1219 , 315 ,  0.01489763779527559 ,  295.0 ,  319.0 ,  158.07053543307086 ,  86.65312886034822</t>
  </si>
  <si>
    <t>Reggie Jackson ,  97 ,  1093 , 205 ,  0.016082474226804123 ,  192.0 ,  208.0 ,  102.49527835051546 ,  58.15244344597185</t>
  </si>
  <si>
    <t>Jimmy Butler ,  95 ,  1129 , 201 ,  0.03690526315789474 ,  196.0 ,  215.0 ,  96.23711578947369 ,  59.789289370846376</t>
  </si>
  <si>
    <t>Chandler Parsons ,  118 ,  1493 , 310 ,  0.01640677966101695 ,  292.0 ,  315.0 ,  156.6892372881356 ,  88.87239520754882</t>
  </si>
  <si>
    <t>Jamal Crawford ,  68 ,  877 , 118 ,  0.13908823529411765 ,  131.0 ,  145.0 ,  72.59323529411765 ,  38.612107383458046</t>
  </si>
  <si>
    <t>Andrew Wiggins ,  64 ,  854 , 135 ,  0.09678125 ,  144.0 ,  159.0 ,  76.52878125 ,  42.022004463609875</t>
  </si>
  <si>
    <t>k =  3</t>
  </si>
  <si>
    <t>LaMarcus Aldridge ,  76 ,  1463 , 130 ,  0.0825 ,  136.0 ,  153.0 ,  73.35492105263158 ,  39.59330425176351</t>
  </si>
  <si>
    <t>Randy Foye ,  95 ,  835 , 46 ,  0.09578947368421052 ,  50.0 ,  58.0 ,  25.351473684210525 ,  14.809887981979513</t>
  </si>
  <si>
    <t>Rudy Gay ,  100 ,  1547 , 152 ,  0.01472 ,  139.0 ,  155.0 ,  74.46708 ,  42.75009375748316</t>
  </si>
  <si>
    <t>JJ Redick ,  93 ,  1072 , 91 ,  0.030451612903225806 ,  86.0 ,  98.0 ,  43.51531182795699 ,  25.851993162890967</t>
  </si>
  <si>
    <t>Mike Dunleavy ,  123 ,  1025 , 49 ,  0.18811382113821137 ,  61.0 ,  70.0 ,  30.95668292682927 ,  18.17726740905905</t>
  </si>
  <si>
    <t>Kyle Lowry ,  91 ,  1222 , 66 ,  0.124 ,  75.0 ,  87.0 ,  34.9432967032967 ,  23.154320179566948</t>
  </si>
  <si>
    <t>PJ Tucker ,  130 ,  926 , 60 ,  0.05027692307692308 ,  60.0 ,  69.0 ,  29.538892307692308 ,  18.68799766211382</t>
  </si>
  <si>
    <t>Paul Millsap ,  107 ,  1415 , 125 ,  0.047009345794392525 ,  124.0 ,  139.0 ,  63.89257943925234 ,  36.88821295774101</t>
  </si>
  <si>
    <t>Jose Juan Barea ,  124 ,  890 , 43 ,  0.04364516129032258 ,  42.0 ,  50.0 ,  20.24666129032258 ,  12.729027538615199</t>
  </si>
  <si>
    <t>Pau Gasol ,  102 ,  1501 , 115 ,  0.23829411764705882 ,  147.0 ,  165.0 ,  75.64025490196079 ,  44.978455138006815</t>
  </si>
  <si>
    <t>Joe Johnson ,  98 ,  1167 , 82 ,  0.12285714285714286 ,  92.0 ,  105.0 ,  46.764326530612244 ,  27.63509541926992</t>
  </si>
  <si>
    <t>Zach Randolph ,  107 ,  1485 , 139 ,  0.12514018691588785 ,  154.0 ,  173.0 ,  82.23652336448598 ,  44.71385932321831</t>
  </si>
  <si>
    <t>Tony Parker ,  108 ,  1378 , 147 ,  0.031055555555555555 ,  141.0 ,  157.0 ,  77.03987037037037 ,  41.90023803501125</t>
  </si>
  <si>
    <t>Chris Paul ,  98 ,  1270 , 117 ,  0.13487755102040816 ,  130.0 ,  144.0 ,  69.61561224489796 ,  39.57024883662602</t>
  </si>
  <si>
    <t>Anthony Davis ,  89 ,  1343 , 172 ,  0.0357752808988764 ,  167.0 ,  186.0 ,  83.32384269662921 ,  51.098126816059384</t>
  </si>
  <si>
    <t>Bradley Beal ,  114 ,  1602 , 104 ,  0.07571929824561403 ,  108.0 ,  122.0 ,  56.10880701754386 ,  32.29080179139532</t>
  </si>
  <si>
    <t>Dion Waiters ,  111 ,  1395 , 94 ,  0.016432432432432434 ,  84.04999999999563 ,  97.0 ,  41.33153153153153 ,  25.78319021483593</t>
  </si>
  <si>
    <t>Damian Lillard ,  94 ,  1393 , 88 ,  0.13725531914893618 ,  101.0 ,  116.0 ,  50.47844680851064 ,  30.32093798253589</t>
  </si>
  <si>
    <t>Terrence Ross ,  131 ,  1129 , 57 ,  0.09912977099236642 ,  62.0 ,  73.0 ,  28.715969465648854 ,  19.931608981194177</t>
  </si>
  <si>
    <t>Andre Drummond ,  136 ,  1406 , 203 ,  0.08126470588235295 ,  212.0 ,  233.0 ,  107.7943088235294 ,  64.20299951733</t>
  </si>
  <si>
    <t>Harrison Barnes ,  134 ,  1068 , 82 ,  0.017865671641791044 ,  74.0 ,  85.0 ,  34.593223880597016 ,  22.337633636360533</t>
  </si>
  <si>
    <t>Evan Fournier ,  104 ,  793 , 44 ,  0.0668076923076923 ,  46.0 ,  55.0 ,  19.36226923076923 ,  14.32057930998843</t>
  </si>
  <si>
    <t>Jared Sullinger ,  93 ,  1043 , 66 ,  0.07378494623655914 ,  69.0 ,  80.0 ,  35.00830107526882 ,  20.30207087047486</t>
  </si>
  <si>
    <t>Tony Wroten ,  52 ,  603 , 46 ,  0.038 ,  44.0 ,  52.0 ,  22.65680769230769 ,  12.933249777576076</t>
  </si>
  <si>
    <t>Nene ,  109 ,  1080 , 108 ,  0.061376146788990824 ,  110.0 ,  123.0 ,  57.231743119266056 ,  33.5841539426573</t>
  </si>
  <si>
    <t>Draymond Green ,  134 ,  978 , 53 ,  0.08564179104477612 ,  57.0 ,  69.0 ,  23.249567164179105 ,  18.339048131782015</t>
  </si>
  <si>
    <t>Khris Middleton ,  124 ,  1258 , 103 ,  0.045564516129032256 ,  102.0 ,  116.0 ,  51.550467741935485 ,  30.485746031080495</t>
  </si>
  <si>
    <t>Carlos Boozer ,  101 ,  1133 , 97 ,  0.10893069306930693 ,  105.0 ,  117.0 ,  55.929683168316835 ,  32.067076760734295</t>
  </si>
  <si>
    <t>Matt Barnes ,  121 ,  991 , 65 ,  0.04740495867768595 ,  64.0 ,  75.0 ,  31.35705785123967 ,  19.472832881598652</t>
  </si>
  <si>
    <t>Luis Scola ,  132 ,  920 , 69 ,  0.033878787878787876 ,  66.0 ,  76.0 ,  29.663939393939394 ,  20.666967559793065</t>
  </si>
  <si>
    <t>Victor Oladipo ,  97 ,  1183 , 68 ,  0.11843298969072165 ,  77.0 ,  90.0 ,  33.5159175257732 ,  24.442451963184453</t>
  </si>
  <si>
    <t>Kevin Durant ,  64 ,  1189 , 160 ,  0.00959375 ,  144.0 ,  159.0 ,  76.08409375 ,  43.274681795377894</t>
  </si>
  <si>
    <t>Al Horford ,  81 ,  1006 , 135 ,  0.04775308641975309 ,  134.0 ,  149.0 ,  72.14575308641976 ,  38.93307160602377</t>
  </si>
  <si>
    <t>Mike Conley ,  85 ,  1047 , 84 ,  0.07075294117647059 ,  87.0 ,  99.0 ,  45.08501176470588 ,  26.427486516657176</t>
  </si>
  <si>
    <t>Jeff Green ,  113 ,  1418 , 93 ,  0.08251327433628318 ,  98.0 ,  112.0 ,  49.641858407079646 ,  29.3219148479705</t>
  </si>
  <si>
    <t>Corey Brewer ,  99 ,  905 , 53 ,  0.16325252525252526 ,  63.0 ,  73.0 ,  31.70090909090909 ,  19.010286932988777</t>
  </si>
  <si>
    <t>Joakim Noah ,  121 ,  972 , 82 ,  0.031818181818181815 ,  78.0 ,  88.0 ,  40.40730578512397 ,  23.992750685748373</t>
  </si>
  <si>
    <t>Spencer Hawes ,  126 ,  1040 , 71 ,  0.06493650793650793 ,  73.0 ,  82.01000000000204 ,  40.52079365079365 ,  21.119174602196342</t>
  </si>
  <si>
    <t>Thaddeus Young ,  130 ,  1835 , 134 ,  0.14478461538461537 ,  153.0 ,  171.0 ,  81.51446153846153 ,  45.29795689163269</t>
  </si>
  <si>
    <t>Rodney Stuckey ,  96 ,  996 , 69 ,  0.10935416666666667 ,  76.0 ,  88.0 ,  38.743604166666664 ,  22.95710018004559</t>
  </si>
  <si>
    <t>Nick Young ,  58 ,  715 , 35 ,  0.34141379310344827 ,  51.0 ,  60.0 ,  26.894862068965516 ,  15.180346225718937</t>
  </si>
  <si>
    <t>Marco Belinelli ,  107 ,  816 , 57 ,  0.15558878504672896 ,  66.0 ,  75.0 ,  34.91719626168224 ,  19.906800218588366</t>
  </si>
  <si>
    <t>Wilson Chandler ,  119 ,  1445 , 79 ,  0.12721008403361345 ,  90.0 ,  104.0 ,  43.227529411764706 ,  27.488175519520972</t>
  </si>
  <si>
    <t>Aaron Brooks ,  98 ,  888 , 58 ,  0.014244897959183673 ,  50.0 ,  59.0 ,  24.677836734693877 ,  15.128428658906719</t>
  </si>
  <si>
    <t>Arron Afflalo ,  115 ,  1393 , 97 ,  0.1496 ,  110.0 ,  124.0 ,  58.85208695652174 ,  33.38736261822929</t>
  </si>
  <si>
    <t>Marc Gasol ,  106 ,  1328 , 115 ,  0.1129811320754717 ,  127.0 ,  143.0 ,  62.03679245283019 ,  39.573124159578015</t>
  </si>
  <si>
    <t>LeBron James ,  71 ,  1154 , 133 ,  0.12369014084507042 ,  147.0 ,  163.0 ,  76.37166197183099 ,  44.59757029064924</t>
  </si>
  <si>
    <t>Chris Bosh ,  104 ,  1419 , 157 ,  0.01698076923076923 ,  143.0 ,  162.0 ,  71.16317307692307 ,  43.6474583973336</t>
  </si>
  <si>
    <t>Dwyane Wade ,  86 ,  1322 , 147 ,  0.04993023255813953 ,  146.0 ,  163.0 ,  75.62362790697675 ,  43.58095028528547</t>
  </si>
  <si>
    <t>David West ,  124 ,  1324 , 129 ,  0.03648387096774194 ,  125.0 ,  140.0 ,  62.94291935483871 ,  38.129433426328944</t>
  </si>
  <si>
    <t>Boris Diaw ,  134 ,  983 , 97 ,  0.008746268656716417 ,  84.0 ,  96.0 ,  41.4910447761194 ,  25.402594951140845</t>
  </si>
  <si>
    <t>Mo Williams ,  81 ,  783 , 47 ,  0.05644444444444444 ,  47.0 ,  55.0 ,  22.673135802469137 ,  14.146914309761353</t>
  </si>
  <si>
    <t>Kyle Korver ,  128 ,  1015 , 88 ,  0.04909375 ,  87.0 ,  99.0 ,  45.629484375 ,  26.032139079350184</t>
  </si>
  <si>
    <t>Jarrett Jack ,  93 ,  767 , 46 ,  0.058408602150537635 ,  47.0 ,  55.0 ,  20.461505376344086 ,  14.972976442254014</t>
  </si>
  <si>
    <t>Dwight Howard ,  96 ,  1000 , 168 ,  0.050041666666666665 ,  168.0 ,  184.0 ,  90.1551875 ,  50.045240992591</t>
  </si>
  <si>
    <t>Luol Deng ,  112 ,  1304 , 85 ,  0.13694642857142858 ,  97.0 ,  109.0 ,  50.73289285714286 ,  29.052489631255956</t>
  </si>
  <si>
    <t>Al Jefferson ,  105 ,  1737 , 164 ,  0.15775238095238095 ,  188.0 ,  207.0 ,  100.0988380952381 ,  56.35176527916893</t>
  </si>
  <si>
    <t>Josh Smith ,  128 ,  1741 , 102 ,  0.08415625 ,  108.0 ,  122.0 ,  54.96671875 ,  32.31121010745959</t>
  </si>
  <si>
    <t>J.R. Smith ,  91 ,  949 , 52 ,  0.12617582417582418 ,  59.0 ,  68.0 ,  28.907912087912088 ,  17.725490524155934</t>
  </si>
  <si>
    <t>Jameer Nelson ,  95 ,  804 , 41 ,  0.07113684210526315 ,  42.0 ,  50.0 ,  22.444063157894735 ,  12.787527126738137</t>
  </si>
  <si>
    <t>Kevin Martin ,  77 ,  1134 , 76 ,  0.06870129870129871 ,  78.0 ,  90.0 ,  39.920337662337666 ,  23.993859969784364</t>
  </si>
  <si>
    <t>Ben McLemore ,  124 ,  1096 , 83 ,  0.0011129032258064516 ,  61.0 ,  71.0 ,  28.256435483870966 ,  18.749417166099278</t>
  </si>
  <si>
    <t>Trevor Ariza ,  126 ,  1327 , 99 ,  0.03301587301587302 ,  95.0 ,  108.0 ,  45.78574603174603 ,  29.362373611920006</t>
  </si>
  <si>
    <t>Kentavious Caldwell-Pope ,  125 ,  1078 , 51 ,  0.083152 ,  55.0 ,  65.0 ,  23.868272 ,  17.40984663154779</t>
  </si>
  <si>
    <t>Michael Carter-Williams ,  103 ,  1419 , 77 ,  0.08458252427184466 ,  81.0 ,  93.0 ,  42.338679611650484 ,  24.65250563299256</t>
  </si>
  <si>
    <t>Tim Hardaway Jr. ,  114 ,  1024 , 67 ,  0.02131578947368421 ,  62.0 ,  70.0 ,  29.151350877192982 ,  19.466125906924923</t>
  </si>
  <si>
    <t>Trey Burke ,  97 ,  1192 , 56 ,  0.05865979381443299 ,  57.0 ,  67.0 ,  26.367360824742267 ,  17.220986796076186</t>
  </si>
  <si>
    <t>Giannis Antetokounmpo ,  117 ,  817 , 49 ,  0.11955555555555555 ,  57.0 ,  68.0 ,  22.149982905982906 ,  18.630714485009157</t>
  </si>
  <si>
    <t>Channing Frye ,  129 ,  996 , 61 ,  0.01744186046511628 ,  56.0 ,  64.0 ,  29.79303875968992 ,  17.082818910493966</t>
  </si>
  <si>
    <t>Deron Williams ,  98 ,  1080 , 78 ,  0.012387755102040817 ,  67.0 ,  79.0 ,  33.28808163265306 ,  20.521826827060664</t>
  </si>
  <si>
    <t>Gerald Green ,  113 ,  1205 , 70 ,  0.12327433628318583 ,  79.0 ,  90.0 ,  39.45433628318584 ,  24.386136053895992</t>
  </si>
  <si>
    <t>David Lee ,  95 ,  1032 , 136 ,  0.03543157894736842 ,  132.0 ,  147.0 ,  77.81713684210526 ,  39.463330787643336</t>
  </si>
  <si>
    <t>Brandon Bass ,  136 ,  1113 , 100 ,  0.09529411764705882 ,  108.0 ,  122.0 ,  51.6025 ,  33.55126621065493</t>
  </si>
  <si>
    <t>CJ Miles ,  91 ,  869 , 61 ,  0.020373626373626375 ,  55.0 ,  64.0 ,  25.284725274725275 ,  16.74055179422338</t>
  </si>
  <si>
    <t>Ersan Ilyasova ,  88 ,  876 , 73 ,  0.01134090909090909 ,  65.0 ,  73.0 ,  34.573159090909094 ,  19.457929267622003</t>
  </si>
  <si>
    <t>Monta Ellis ,  109 ,  1642 , 150 ,  0.014770642201834862 ,  136.0 ,  154.0 ,  68.86374311926606 ,  42.15778752189625</t>
  </si>
  <si>
    <t>Lou Williams ,  77 ,  733 , 43 ,  0.04 ,  41.0 ,  49.0 ,  17.53605194805195 ,  13.135419510300656</t>
  </si>
  <si>
    <t>Amir Johnson ,  132 ,  947 , 116 ,  0.08383333333333333 ,  122.0 ,  137.0 ,  61.622166666666665 ,  36.679237577203665</t>
  </si>
  <si>
    <t>Marcin Gortat ,  137 ,  1344 , 189 ,  0.01913868613138686 ,  176.0 ,  196.0 ,  86.47322627737226 ,  53.57177461119423</t>
  </si>
  <si>
    <t>Jose Calderon ,  105 ,  921 , 49 ,  0.2108952380952381 ,  61.0 ,  71.0 ,  31.40662857142857 ,  18.639688988442117</t>
  </si>
  <si>
    <t>O.J. Mayo ,  85 ,  764 , 34 ,  0.1887764705882353 ,  44.0 ,  52.0 ,  21.250847058823528 ,  12.891028087970497</t>
  </si>
  <si>
    <t>Russell Westbrook ,  62 ,  1127 , 68 ,  0.1693548387096774 ,  82.0 ,  94.0 ,  41.312548387096776 ,  24.70894491205591</t>
  </si>
  <si>
    <t>Kevin Love ,  107 ,  1579 , 117 ,  0.08403738317757009 ,  123.0 ,  137.0 ,  67.12641121495327 ,  36.796684653826425</t>
  </si>
  <si>
    <t>Eric Gordon ,  105 ,  1223 , 67 ,  0.1381904761904762 ,  76.0 ,  87.0 ,  40.562285714285714 ,  22.681884244276276</t>
  </si>
  <si>
    <t>D.J. Augustin ,  107 ,  864 , 56 ,  0.027158878504672898 ,  52.0 ,  60.01000000000204 ,  27.28271028037383 ,  14.594999148030665</t>
  </si>
  <si>
    <t>Jerryd Bayless ,  113 ,  799 , 46 ,  0.041982300884955755 ,  45.0 ,  52.0 ,  22.649221238938054 ,  13.446843835192126</t>
  </si>
  <si>
    <t>Robin Lopez ,  122 ,  907 , 125 ,  0.01140983606557377 ,  112.0 ,  125.0 ,  58.76762295081967 ,  34.340902595461124</t>
  </si>
  <si>
    <t>Marreese Speights ,  117 ,  766 , 74 ,  0.009111111111111111 ,  63.0 ,  73.0 ,  27.271589743589743 ,  20.038136709082025</t>
  </si>
  <si>
    <t>Roy Hibbert ,  142 ,  1272 , 96 ,  0.02815492957746479 ,  91.0 ,  103.0 ,  45.79766197183098 ,  28.15875047541068</t>
  </si>
  <si>
    <t>JJ Hickson ,  116 ,  912 , 93 ,  0.041879310344827586 ,  91.0 ,  102.0 ,  50.33674137931035 ,  27.187789508286773</t>
  </si>
  <si>
    <t>Courtney Lee ,  126 ,  968 , 78 ,  0.03141269841269841 ,  74.0 ,  84.0 ,  36.45471428571429 ,  22.075273389832066</t>
  </si>
  <si>
    <t>Serge Ibaka ,  120 ,  1385 , 164 ,  0.064 ,  167.0 ,  185.0 ,  91.5772 ,  50.12082508126404</t>
  </si>
  <si>
    <t>Nicolas Batum ,  140 ,  1266 , 77 ,  0.12567142857142857 ,  86.0 ,  99.0 ,  44.740271428571425 ,  26.40279608430107</t>
  </si>
  <si>
    <t>George Hill ,  88 ,  808 , 54 ,  0.12036363636363637 ,  61.0 ,  71.0 ,  28.832772727272726 ,  18.881700822445712</t>
  </si>
  <si>
    <t>Mario Chalmers ,  111 ,  846 , 55 ,  0.07927927927927927 ,  58.0 ,  69.0 ,  29.011945945945946 ,  17.30651550474552</t>
  </si>
  <si>
    <t>Goran Dragic ,  110 ,  1448 , 153 ,  0.08725454545454546 ,  161.0 ,  178.0 ,  83.42718181818182 ,  49.52451043550086</t>
  </si>
  <si>
    <t>Anthony Morrow ,  114 ,  818 , 44 ,  0.15343859649122807 ,  54.0 ,  63.0 ,  24.031070175438597 ,  16.521872783018072</t>
  </si>
  <si>
    <t>Carmelo Anthony ,  65 ,  1301 , 106 ,  0.10464615384615385 ,  115.0 ,  130.0 ,  58.64658461538462 ,  34.40496505800929</t>
  </si>
  <si>
    <t>Blake Griffin ,  115 ,  1905 , 225 ,  0.07046956521739131 ,  231.0 ,  253.0 ,  122.816 ,  70.0891429017052</t>
  </si>
  <si>
    <t>James Harden ,  75 ,  1173 , 87 ,  0.12133333333333333 ,  98.0 ,  112.0 ,  46.47208 ,  30.890226185752237</t>
  </si>
  <si>
    <t>Tyreke Evans ,  79 ,  1004 , 90 ,  0.0650126582278481 ,  92.0 ,  106.0 ,  42.97964556962025 ,  29.76426267409638</t>
  </si>
  <si>
    <t>Stephen Curry ,  92 ,  1467 , 134 ,  0.11645652173913043 ,  147.0 ,  161.0 ,  73.77643478260869 ,  44.66621835427568</t>
  </si>
  <si>
    <t>Jordan Hill ,  106 ,  908 , 116 ,  0.003150943396226415 ,  94.0 ,  108.0 ,  46.141301886792455 ,  28.507120854922658</t>
  </si>
  <si>
    <t>DeMar DeRozan ,  94 ,  1583 , 85 ,  0.1608936170212766 ,  101.0 ,  115.0 ,  49.53493617021277 ,  30.987176700847446</t>
  </si>
  <si>
    <t>Brandon Jennings ,  77 ,  977 , 43 ,  0.09776623376623376 ,  47.0 ,  55.0 ,  22.70433766233766 ,  14.285703938862842</t>
  </si>
  <si>
    <t>Gerald Henderson ,  133 ,  1457 , 107 ,  0.05141353383458647 ,  107.0 ,  120.0 ,  56.12478195488722 ,  31.526896157779845</t>
  </si>
  <si>
    <t>Ty Lawson ,  78 ,  927 , 54 ,  0.13482051282051283 ,  62.0 ,  72.0 ,  31.46248717948718 ,  18.557737427534718</t>
  </si>
  <si>
    <t>Jeff Teague ,  107 ,  1301 , 85 ,  0.17138317757009347 ,  101.0 ,  114.0 ,  51.93405607476635 ,  30.235394666699182</t>
  </si>
  <si>
    <t>Darren Collison ,  80 ,  710 , 60 ,  0.03265 ,  56.0 ,  66.0 ,  28.0266 ,  17.185899523737476</t>
  </si>
  <si>
    <t>Taj Gibson ,  123 ,  1157 , 104 ,  0.05165853658536585 ,  104.0 ,  118.0 ,  55.26421138211382 ,  30.525266045397697</t>
  </si>
  <si>
    <t>DeMarre Carroll ,  114 ,  1004 , 95 ,  0.015175438596491227 ,  85.0 ,  97.0 ,  43.487947368421054 ,  25.36166457811215</t>
  </si>
  <si>
    <t>Jodie Meeks ,  112 ,  1116 , 88 ,  0.02819642857142857 ,  83.0 ,  94.0 ,  47.523125 ,  24.0455334629966</t>
  </si>
  <si>
    <t>Danny Green ,  111 ,  864 , 57 ,  0.03209009009009009 ,  53.0 ,  64.0 ,  24.42897297297297 ,  16.257670129643873</t>
  </si>
  <si>
    <t>Wesley Matthews ,  110 ,  1291 , 76 ,  0.1799272727272727 ,  94.0 ,  108.0 ,  45.83027272727273 ,  28.57840907713663</t>
  </si>
  <si>
    <t>Tim Duncan ,  119 ,  1313 , 150 ,  0.02564705882352941 ,  142.0 ,  159.0 ,  73.1101680672269 ,  42.228896245616156</t>
  </si>
  <si>
    <t>John Wall ,  62 ,  869 , 73 ,  0.025903225806451612 ,  68.0 ,  78.0 ,  32.63796774193548 ,  20.741535321254077</t>
  </si>
  <si>
    <t>Evan Turner ,  129 ,  1299 , 79 ,  0.05418604651162791 ,  79.0 ,  91.0 ,  41.54409302325581 ,  23.244089887969995</t>
  </si>
  <si>
    <t>Derrick Favors ,  129 ,  1420 , 133 ,  0.19466666666666665 ,  165.0 ,  184.0 ,  79.33130232558139 ,  51.11164423840775</t>
  </si>
  <si>
    <t>Wesley Johnson ,  113 ,  945 , 51 ,  0.08511504424778761 ,  54.0 ,  63.0 ,  26.929026548672567 ,  16.53678837770057</t>
  </si>
  <si>
    <t>DeMarcus Cousins ,  94 ,  1574 , 131 ,  0.10342553191489362 ,  141.0 ,  157.0 ,  70.64487234042554 ,  44.0055449997882</t>
  </si>
  <si>
    <t>Greg Monroe ,  121 ,  1474 , 139 ,  0.06464462809917355 ,  142.0 ,  160.0 ,  71.84115702479339 ,  43.523020890347496</t>
  </si>
  <si>
    <t>Gordon Hayward ,  97 ,  1243 , 76 ,  0.042391752577319586 ,  74.0 ,  85.0 ,  35.98222680412371 ,  22.68777711688082</t>
  </si>
  <si>
    <t>Paul George ,  37 ,  540 , 30 ,  0.25145945945945947 ,  42.0 ,  48.0 ,  19.61081081081081 ,  12.957289168102603</t>
  </si>
  <si>
    <t>Eric Bledsoe ,  84 ,  1015 , 78 ,  0.14969047619047618 ,  89.0 ,  101.0 ,  46.75064285714286 ,  27.157558573663664</t>
  </si>
  <si>
    <t>Avery Bradley ,  102 ,  1268 , 93 ,  0.05807843137254902 ,  94.0 ,  107.0 ,  48.39329411764706 ,  28.576667194974263</t>
  </si>
  <si>
    <t>Greivis Vasquez ,  136 ,  1151 , 79 ,  0.017926470588235294 ,  71.0 ,  82.0 ,  34.37270588235294 ,  21.350270056880547</t>
  </si>
  <si>
    <t>Lance Stephenson ,  117 ,  1156 , 80 ,  0.12488888888888888 ,  89.0 ,  101.0 ,  47.45852991452991 ,  27.43040062635997</t>
  </si>
  <si>
    <t>Timofey Mozgov ,  143 ,  917 , 106 ,  0.03661538461538461 ,  102.0 ,  115.0 ,  51.289566433566435 ,  30.633172936339527</t>
  </si>
  <si>
    <t>Jeremy Lin ,  97 ,  839 , 60 ,  0.011381443298969071 ,  52.0 ,  60.0 ,  26.391938144329895 ,  15.383540975491549</t>
  </si>
  <si>
    <t>Vince Carter ,  113 ,  888 , 32 ,  0.2806371681415929 ,  43.0 ,  50.0 ,  23.26378761061947 ,  12.64773547148503</t>
  </si>
  <si>
    <t>Dirk Nowitzki ,  122 ,  1782 , 141 ,  0.13750819672131148 ,  160.0 ,  179.0 ,  80.3270655737705 ,  49.02285377295859</t>
  </si>
  <si>
    <t>Paul Pierce ,  125 ,  1074 , 92 ,  0.058544 ,  93.0 ,  105.0 ,  47.257424 ,  28.99849301057253</t>
  </si>
  <si>
    <t>Manu Ginobili ,  73 ,  543 , 28 ,  0.36435616438356166 ,  43.0 ,  50.0 ,  22.001643835616438 ,  12.95057189340678</t>
  </si>
  <si>
    <t>Isaiah Thomas ,  64 ,  757 , 39 ,  0.2924375 ,  55.0 ,  64.0 ,  29.27184375 ,  15.328130013983635</t>
  </si>
  <si>
    <t>Kyrie Irving ,  91 ,  1398 , 104 ,  0.12432967032967034 ,  117.0 ,  132.01000000000204 ,  59.36975824175824 ,  34.71031299618604</t>
  </si>
  <si>
    <t>Enes Kanter ,  136 ,  1539 , 177 ,  0.012529411764705883 ,  159.0 ,  179.0 ,  76.49442647058824 ,  49.92603704299113</t>
  </si>
  <si>
    <t>Tristan Thompson ,  140 ,  1033 , 113 ,  0.0137 ,  102.0 ,  115.0 ,  54.912142857142854 ,  30.169582050841356</t>
  </si>
  <si>
    <t>Jonas Valanciunas ,  141 ,  1140 , 149 ,  0.019134751773049647 ,  136.0 ,  155.0 ,  66.12333333333333 ,  40.73923137819431</t>
  </si>
  <si>
    <t>Brandon Knight ,  98 ,  1404 , 87 ,  0.0923673469387755 ,  93.0 ,  105.0 ,  47.38783673469388 ,  28.01894605029359</t>
  </si>
  <si>
    <t>Kemba Walker ,  59 ,  844 , 65 ,  0.016271186440677966 ,  57.0 ,  67.0099999999984 ,  28.01508474576271 ,  17.815084341017418</t>
  </si>
  <si>
    <t>Klay Thompson ,  114 ,  1786 , 157 ,  0.07440350877192982 ,  164.0 ,  183.0 ,  79.92522807017544 ,  49.23467529357509</t>
  </si>
  <si>
    <t>Alec Burks ,  65 ,  669 , 51 ,  0.08646153846153846 ,  54.0 ,  63.0 ,  28.25676923076923 ,  15.788997396696834</t>
  </si>
  <si>
    <t>Markieff Morris ,  114 ,  1316 , 130 ,  0.007912280701754386 ,  112.0 ,  128.0 ,  53.196122807017545 ,  34.989244598861426</t>
  </si>
  <si>
    <t>Marcus Morris ,  120 ,  958 , 76 ,  0.024216666666666668 ,  70.0 ,  80.0 ,  32.07006666666667 ,  22.082203784848005</t>
  </si>
  <si>
    <t>Kawhi Leonard ,  103 ,  1136 , 115 ,  0.03877669902912621 ,  112.0 ,  126.0 ,  54.307611650485434 ,  33.898263213015696</t>
  </si>
  <si>
    <t>Nikola Vucevic ,  95 ,  1349 , 147 ,  0.05073684210526316 ,  147.0 ,  165.0 ,  69.71317894736842 ,  45.39570634692668</t>
  </si>
  <si>
    <t>Tobias Harris ,  101 ,  1295 , 102 ,  0.12118811881188118 ,  114.0 ,  128.0 ,  56.615742574257425 ,  34.28220578316795</t>
  </si>
  <si>
    <t>Kenneth Faried ,  127 ,  1219 , 155 ,  0.02048818897637795 ,  145.0 ,  161.0 ,  75.61412598425197 ,  42.18050300230469</t>
  </si>
  <si>
    <t>Reggie Jackson ,  97 ,  1093 , 81 ,  0.06690721649484536 ,  83.0 ,  94.0 ,  43.30698969072165 ,  24.87545978666187</t>
  </si>
  <si>
    <t>Jimmy Butler ,  95 ,  1129 , 69 ,  0.1668421052631579 ,  84.0 ,  96.0 ,  39.236 ,  25.59010846730473</t>
  </si>
  <si>
    <t>Chandler Parsons ,  118 ,  1493 , 145 ,  0.011847457627118644 ,  131.0 ,  145.01000000000204 ,  69.52783050847458 ,  39.70317758326858</t>
  </si>
  <si>
    <t>Jamal Crawford ,  68 ,  877 , 40 ,  0.2732058823529412 ,  54.0 ,  63.0 ,  28.470117647058824 ,  16.076656112228843</t>
  </si>
  <si>
    <t>Andrew Wiggins ,  64 ,  854 , 55 ,  0.1163125 ,  62.0 ,  72.0 ,  30.71875 ,  18.24682228327716</t>
  </si>
  <si>
    <t>k =  4</t>
  </si>
  <si>
    <t>LaMarcus Aldridge ,  76 ,  1463 , 63 ,  0.06821052631578947 ,  65.0 ,  76.0 ,  33.36823684210526 ,  18.90593492298984</t>
  </si>
  <si>
    <t>Randy Foye ,  95 ,  835 , 14 ,  0.21347368421052632 ,  20.0 ,  24.0 ,  8.508336842105264 ,  5.9404974071564185</t>
  </si>
  <si>
    <t>Rudy Gay ,  100 ,  1547 , 71 ,  0.02756 ,  66.0 ,  78.0 ,  33.63376 ,  20.152418918392897</t>
  </si>
  <si>
    <t>JJ Redick ,  93 ,  1072 , 35 ,  0.10253763440860215 ,  39.0 ,  47.0 ,  18.341505376344085 ,  11.888238422390659</t>
  </si>
  <si>
    <t>Mike Dunleavy ,  123 ,  1025 , 17 ,  0.23691056910569105 ,  24.0 ,  30.0 ,  10.938617886178863 ,  7.494400383896742</t>
  </si>
  <si>
    <t>Kyle Lowry ,  91 ,  1222 , 22 ,  0.22516483516483515 ,  32.0 ,  39.0 ,  13.55778021978022 ,  10.017791969875232</t>
  </si>
  <si>
    <t>PJ Tucker ,  130 ,  926 , 21 ,  0.111 ,  24.0 ,  29.0 ,  10.576892307692308 ,  7.671758089799389</t>
  </si>
  <si>
    <t>Paul Millsap ,  107 ,  1415 , 53 ,  0.08512149532710281 ,  57.0 ,  68.0 ,  27.707009345794393 ,  16.966054273107922</t>
  </si>
  <si>
    <t>Jose Juan Barea ,  124 ,  890 , 20 ,  0.010580645161290323 ,  15.0 ,  20.0 ,  6.49066129032258 ,  4.922746074858403</t>
  </si>
  <si>
    <t>Pau Gasol ,  102 ,  1501 , 41 ,  0.39862745098039215 ,  69.0 ,  81.0 ,  33.975843137254905 ,  21.52608460465504</t>
  </si>
  <si>
    <t>Joe Johnson ,  98 ,  1167 , 29 ,  0.23020408163265307 ,  39.0 ,  47.0 ,  18.708469387755102 ,  12.018526926955769</t>
  </si>
  <si>
    <t>Zach Randolph ,  107 ,  1485 , 56 ,  0.22106542056074766 ,  74.0 ,  86.0 ,  37.616579439252334 ,  21.31979725580748</t>
  </si>
  <si>
    <t>Tony Parker ,  108 ,  1378 , 76 ,  0.019018518518518518 ,  68.0 ,  79.0 ,  35.600425925925926 ,  20.44915256335401</t>
  </si>
  <si>
    <t>Chris Paul ,  98 ,  1270 , 47 ,  0.24391836734693878 ,  62.0 ,  72.0 ,  31.434204081632654 ,  18.915121838424206</t>
  </si>
  <si>
    <t>Anthony Davis ,  89 ,  1343 , 78 ,  0.09384269662921348 ,  85.0 ,  99.0 ,  40.86359550561798 ,  25.951903666711466</t>
  </si>
  <si>
    <t>Bradley Beal ,  114 ,  1602 , 36 ,  0.19766666666666666 ,  47.0 ,  55.0 ,  22.366245614035087 ,  14.060196560080332</t>
  </si>
  <si>
    <t>Dion Waiters ,  111 ,  1395 , 34 ,  0.06108108108108108 ,  35.0 ,  43.0 ,  15.163441441441442 ,  10.783121965722728</t>
  </si>
  <si>
    <t>Damian Lillard ,  94 ,  1393 , 37 ,  0.13648936170212767 ,  44.0 ,  53.0 ,  20.710851063829786 ,  13.296690090424637</t>
  </si>
  <si>
    <t>Terrence Ross ,  131 ,  1129 , 18 ,  0.19870229007633589 ,  25.0 ,  31.0 ,  10.135450381679389 ,  8.132592315753666</t>
  </si>
  <si>
    <t>Andre Drummond ,  136 ,  1406 , 101 ,  0.09245588235294118 ,  109.0 ,  124.0 ,  53.78355882352941 ,  32.85202080335679</t>
  </si>
  <si>
    <t>Harrison Barnes ,  134 ,  1068 , 31 ,  0.05592537313432836 ,  31.0 ,  38.0 ,  13.181970149253731 ,  9.673189151325321</t>
  </si>
  <si>
    <t>Evan Fournier ,  104 ,  793 , 19 ,  0.056519230769230766 ,  19.0 ,  25.0 ,  7.103365384615385 ,  6.180806847780556</t>
  </si>
  <si>
    <t>Jared Sullinger ,  93 ,  1043 , 19 ,  0.2767741935483871 ,  28.0 ,  35.0 ,  13.318967741935484 ,  8.631309685756417</t>
  </si>
  <si>
    <t>Tony Wroten ,  52 ,  603 , 20 ,  0.08115384615384616 ,  22.0 ,  27.0 ,  9.746653846153846 ,  6.563372165881638</t>
  </si>
  <si>
    <t>Nene ,  109 ,  1080 , 50 ,  0.06601834862385321 ,  51.0 ,  61.0 ,  25.201981651376148 ,  15.761890275721486</t>
  </si>
  <si>
    <t>Draymond Green ,  134 ,  978 , 14 ,  0.22180597014925374 ,  23.0 ,  29.0 ,  8.13886567164179 ,  7.4179813742367315</t>
  </si>
  <si>
    <t>Khris Middleton ,  124 ,  1258 , 47 ,  0.02838709677419355 ,  44.0 ,  52.0 ,  20.878709677419355 ,  13.017696328072272</t>
  </si>
  <si>
    <t>Carlos Boozer ,  101 ,  1133 , 40 ,  0.16645544554455446 ,  48.0 ,  57.0 ,  24.04720792079208 ,  14.719593903350093</t>
  </si>
  <si>
    <t>Matt Barnes ,  121 ,  991 , 28 ,  0.03968595041322314 ,  26.0 ,  34.0 ,  11.483702479338843 ,  8.237293676814796</t>
  </si>
  <si>
    <t>Luis Scola ,  132 ,  920 , 23 ,  0.11046969696969697 ,  27.0 ,  33.0 ,  10.838742424242424 ,  8.595254800479731</t>
  </si>
  <si>
    <t>Victor Oladipo ,  97 ,  1183 , 28 ,  0.12387628865979382 ,  33.0 ,  41.0 ,  12.945711340206186 ,  10.779220232646331</t>
  </si>
  <si>
    <t>Kevin Durant ,  64 ,  1189 , 87 ,  0.0123125 ,  74.0 ,  88.0 ,  36.96728125 ,  22.31340736493193</t>
  </si>
  <si>
    <t>Al Horford ,  81 ,  1006 , 65 ,  0.09817283950617284 ,  71.0 ,  83.0 ,  37.08024691358025 ,  20.516001100935863</t>
  </si>
  <si>
    <t>Mike Conley ,  85 ,  1047 , 32 ,  0.15992941176470588 ,  39.0 ,  47.0 ,  18.70564705882353 ,  12.12055099184937</t>
  </si>
  <si>
    <t>Jeff Green ,  113 ,  1418 , 36 ,  0.1456991150442478 ,  43.0 ,  52.0 ,  20.622938053097347 ,  12.992826524754236</t>
  </si>
  <si>
    <t>Corey Brewer ,  99 ,  905 , 19 ,  0.23937373737373738 ,  27.0 ,  34.0 ,  12.280909090909091 ,  8.458871332752306</t>
  </si>
  <si>
    <t>Joakim Noah ,  121 ,  972 , 35 ,  0.046264462809917355 ,  34.0 ,  41.0 ,  15.659818181818181 ,  10.686152094112847</t>
  </si>
  <si>
    <t>Spencer Hawes ,  126 ,  1040 , 30 ,  0.07092063492063493 ,  31.0 ,  38.0 ,  15.579650793650794 ,  9.159020458055043</t>
  </si>
  <si>
    <t>Thaddeus Young ,  130 ,  1835 , 46 ,  0.3096923076923077 ,  69.0 ,  82.0 ,  34.590584615384614 ,  20.546429462517928</t>
  </si>
  <si>
    <t>Rodney Stuckey ,  96 ,  996 , 26 ,  0.18602083333333333 ,  34.0 ,  42.0 ,  15.683104166666666 ,  10.338182361073729</t>
  </si>
  <si>
    <t>Nick Young ,  58 ,  715 , 10 ,  0.5624482758620689 ,  23.0 ,  29.0 ,  11.08351724137931 ,  7.14560805849053</t>
  </si>
  <si>
    <t>Marco Belinelli ,  107 ,  816 , 22 ,  0.22586915887850467 ,  30.0 ,  35.0 ,  14.471140186915887 ,  8.901391721962598</t>
  </si>
  <si>
    <t>Wilson Chandler ,  119 ,  1445 , 25 ,  0.24307563025210083 ,  37.0 ,  45.0 ,  16.348134453781512 ,  11.376457145878334</t>
  </si>
  <si>
    <t>Aaron Brooks ,  98 ,  888 , 26 ,  0.012183673469387755 ,  21.0 ,  26.0 ,  9.01438775510204 ,  6.477447306211608</t>
  </si>
  <si>
    <t>Arron Afflalo ,  115 ,  1393 , 28 ,  0.4322086956521739 ,  50.0 ,  59.0 ,  24.53664347826087 ,  15.111474357437826</t>
  </si>
  <si>
    <t>Marc Gasol ,  106 ,  1328 , 45 ,  0.20726415094339623 ,  59.0 ,  70.0 ,  27.348716981132075 ,  18.524340444936232</t>
  </si>
  <si>
    <t>LeBron James ,  71 ,  1154 , 55 ,  0.27569014084507043 ,  77.0 ,  89.0 ,  38.63422535211268 ,  23.20744866838437</t>
  </si>
  <si>
    <t>Chris Bosh ,  104 ,  1419 , 74 ,  0.03053846153846154 ,  69.0 ,  82.0 ,  32.58736538461538 ,  21.130495233856507</t>
  </si>
  <si>
    <t>Dwyane Wade ,  86 ,  1322 , 68 ,  0.08316279069767442 ,  72.0 ,  85.0 ,  36.004767441860466 ,  21.44697952532874</t>
  </si>
  <si>
    <t>David West ,  124 ,  1324 , 61 ,  0.029225806451612903 ,  56.0 ,  67.0 ,  26.825774193548387 ,  17.35371951059015</t>
  </si>
  <si>
    <t>Boris Diaw ,  134 ,  983 , 43 ,  0.019283582089552238 ,  38.0 ,  45.0 ,  17.166373134328357 ,  11.505677014511718</t>
  </si>
  <si>
    <t>Mo Williams ,  81 ,  783 , 19 ,  0.07590123456790124 ,  20.0 ,  26.0 ,  8.749432098765432 ,  6.288581140758855</t>
  </si>
  <si>
    <t>Kyle Korver ,  128 ,  1015 , 36 ,  0.08625 ,  39.0 ,  47.0 ,  19.15075 ,  11.606913055911981</t>
  </si>
  <si>
    <t>Jarrett Jack ,  93 ,  767 , 17 ,  0.08929032258064516 ,  19.0 ,  25.0 ,  7.160752688172043 ,  6.1361565036887376</t>
  </si>
  <si>
    <t>Dwight Howard ,  96 ,  1000 , 92 ,  0.049104166666666664 ,  91.0 ,  104.0 ,  47.869125 ,  27.051003463846616</t>
  </si>
  <si>
    <t>Luol Deng ,  112 ,  1304 , 38 ,  0.09533928571428571 ,  41.0 ,  50.0 ,  20.191142857142857 ,  12.60878095873293</t>
  </si>
  <si>
    <t>Al Jefferson ,  105 ,  1737 , 75 ,  0.17645714285714287 ,  91.0 ,  105.0 ,  46.13889523809524 ,  27.571594484152502</t>
  </si>
  <si>
    <t>Josh Smith ,  128 ,  1741 , 39 ,  0.11871875 ,  45.0 ,  53.0 ,  21.13940625 ,  13.648452417672157</t>
  </si>
  <si>
    <t>J.R. Smith ,  91 ,  949 , 20 ,  0.13597802197802197 ,  24.0 ,  31.0 ,  10.488857142857142 ,  7.62887999005547</t>
  </si>
  <si>
    <t>Jameer Nelson ,  95 ,  804 , 11 ,  0.2976842105263158 ,  17.0 ,  21.0 ,  7.725242105263158 ,  5.377276036522952</t>
  </si>
  <si>
    <t>Kevin Martin ,  77 ,  1134 , 30 ,  0.12376623376623376 ,  35.0 ,  42.0 ,  16.11387012987013 ,  10.816964542107536</t>
  </si>
  <si>
    <t>Ben McLemore ,  124 ,  1096 , 31 ,  0.011435483870967742 ,  25.0 ,  31.0 ,  10.30408064516129 ,  7.756252594911863</t>
  </si>
  <si>
    <t>Trevor Ariza ,  126 ,  1327 , 37 ,  0.07107936507936508 ,  39.0 ,  47.0 ,  17.434174603174604 ,  12.238519091655466</t>
  </si>
  <si>
    <t>Kentavious Caldwell-Pope ,  125 ,  1078 , 20 ,  0.077616 ,  21.0 ,  27.0 ,  8.321536 ,  6.874619305874617</t>
  </si>
  <si>
    <t>Michael Carter-Williams ,  103 ,  1419 , 24 ,  0.2392621359223301 ,  34.0 ,  40.0 ,  15.765417475728155 ,  10.284614778220604</t>
  </si>
  <si>
    <t>Tim Hardaway Jr. ,  114 ,  1024 , 25 ,  0.06591228070175438 ,  26.0 ,  32.0 ,  10.91757894736842 ,  8.275445380386925</t>
  </si>
  <si>
    <t>Trey Burke ,  97 ,  1192 , 18 ,  0.130680412371134 ,  22.0 ,  27.0 ,  8.951567010309278 ,  6.906795146373115</t>
  </si>
  <si>
    <t>Giannis Antetokounmpo ,  117 ,  817 , 19 ,  0.14916239316239316 ,  26.0 ,  34.0 ,  8.497743589743589 ,  8.612321427971567</t>
  </si>
  <si>
    <t>Channing Frye ,  129 ,  996 , 18 ,  0.1846356589147287 ,  23.0 ,  29.0 ,  10.75937984496124 ,  7.172468437809728</t>
  </si>
  <si>
    <t>Deron Williams ,  98 ,  1080 , 32 ,  0.020877551020408162 ,  28.0 ,  34.0 ,  12.303285714285714 ,  8.557517128709895</t>
  </si>
  <si>
    <t>Gerald Green ,  113 ,  1205 , 23 ,  0.2468141592920354 ,  33.0 ,  40.0 ,  15.011132743362833 ,  10.32824120203977</t>
  </si>
  <si>
    <t>David Lee ,  95 ,  1032 , 70 ,  0.042673684210526315 ,  68.0 ,  78.0 ,  37.80322105263158 ,  20.092187383043846</t>
  </si>
  <si>
    <t>Brandon Bass ,  136 ,  1113 , 28 ,  0.33538235294117646 ,  47.0 ,  56.0 ,  21.056588235294118 ,  14.867147086025234</t>
  </si>
  <si>
    <t>CJ Miles ,  91 ,  869 , 26 ,  0.02103296703296703 ,  22.0 ,  29.0 ,  9.267604395604396 ,  6.957702110372646</t>
  </si>
  <si>
    <t>Ersan Ilyasova ,  88 ,  876 , 39 ,  0.004659090909090909 ,  28.0 ,  35.0 ,  13.44965909090909 ,  8.597114334692833</t>
  </si>
  <si>
    <t>Monta Ellis ,  109 ,  1642 , 71 ,  0.01655045871559633 ,  62.0 ,  74.0 ,  29.531761467889908 ,  19.339636544358147</t>
  </si>
  <si>
    <t>Lou Williams ,  77 ,  733 , 14 ,  0.11033766233766233 ,  17.0 ,  22.0 ,  6.235948051948052 ,  5.501623486236984</t>
  </si>
  <si>
    <t>Amir Johnson ,  132 ,  947 , 54 ,  0.09292424242424242 ,  59.0 ,  69.0 ,  27.698757575757575 ,  17.813093880847795</t>
  </si>
  <si>
    <t>Marcin Gortat ,  137 ,  1344 , 99 ,  0.012992700729927007 ,  87.0 ,  100.00999999999476 ,  41.02684671532847 ,  26.44365491177973</t>
  </si>
  <si>
    <t>Jose Calderon ,  105 ,  921 , 13 ,  0.43194285714285713 ,  26.0 ,  32.0 ,  11.738114285714286 ,  8.057337777648971</t>
  </si>
  <si>
    <t>O.J. Mayo ,  85 ,  764 , 9 ,  0.39938823529411766 ,  18.0 ,  24.0 ,  7.701411764705882 ,  5.610550807172286</t>
  </si>
  <si>
    <t>Russell Westbrook ,  62 ,  1127 , 31 ,  0.12729032258064515 ,  36.0 ,  44.0 ,  17.051354838709678 ,  11.073234575807724</t>
  </si>
  <si>
    <t>Kevin Love ,  107 ,  1579 , 45 ,  0.1936822429906542 ,  56.0 ,  65.0 ,  28.542953271028036 ,  16.751771167834722</t>
  </si>
  <si>
    <t>Eric Gordon ,  105 ,  1223 , 19 ,  0.3765142857142857 ,  32.0 ,  39.0 ,  15.541542857142858 ,  9.758870343512953</t>
  </si>
  <si>
    <t>D.J. Augustin ,  107 ,  864 , 20 ,  0.10433644859813083 ,  23.0 ,  28.0 ,  10.489794392523365 ,  6.7477312597633325</t>
  </si>
  <si>
    <t>Jerryd Bayless ,  113 ,  799 , 18 ,  0.0708495575221239 ,  19.0 ,  23.0 ,  8.15446017699115 ,  5.792670110534181</t>
  </si>
  <si>
    <t>Robin Lopez ,  122 ,  907 , 53 ,  0.07368852459016394 ,  55.0 ,  65.0 ,  27.418409836065575 ,  17.08373875737963</t>
  </si>
  <si>
    <t>Marreese Speights ,  117 ,  766 , 35 ,  0.013743589743589744 ,  29.0 ,  36.0 ,  11.374273504273503 ,  9.344702125029844</t>
  </si>
  <si>
    <t>Roy Hibbert ,  142 ,  1272 , 36 ,  0.09033802816901408 ,  39.0 ,  46.0 ,  18.10025352112676 ,  12.087622813764488</t>
  </si>
  <si>
    <t>JJ Hickson ,  116 ,  912 , 40 ,  0.09217241379310345 ,  43.0 ,  50.0 ,  22.191586206896552 ,  12.783319609654152</t>
  </si>
  <si>
    <t>Courtney Lee ,  126 ,  968 , 30 ,  0.060253968253968254 ,  30.0 ,  37.0 ,  13.590444444444444 ,  9.264140326708427</t>
  </si>
  <si>
    <t>Serge Ibaka ,  120 ,  1385 , 77 ,  0.1126 ,  85.0 ,  97.0 ,  44.5071 ,  25.370980461740142</t>
  </si>
  <si>
    <t>Nicolas Batum ,  140 ,  1266 , 25 ,  0.27564285714285713 ,  37.0 ,  45.0 ,  17.418514285714284 ,  11.388532581684156</t>
  </si>
  <si>
    <t>George Hill ,  88 ,  808 , 19 ,  0.21459090909090908 ,  27.0 ,  33.0 ,  11.471 ,  8.448043070869888</t>
  </si>
  <si>
    <t>Mario Chalmers ,  111 ,  846 , 17 ,  0.22967567567567568 ,  24.0 ,  29.0 ,  10.900522522522522 ,  7.4274870374127335</t>
  </si>
  <si>
    <t>Goran Dragic ,  110 ,  1448 , 72 ,  0.09596363636363636 ,  79.0 ,  91.0 ,  38.12743636363636 ,  24.360308924197042</t>
  </si>
  <si>
    <t>Anthony Morrow ,  114 ,  818 , 14 ,  0.24328070175438596 ,  22.0 ,  27.0 ,  8.709649122807017 ,  6.944217199113528</t>
  </si>
  <si>
    <t>Carmelo Anthony ,  65 ,  1301 , 44 ,  0.1564 ,  53.0 ,  64.0 ,  25.440615384615384 ,  16.02752477429165</t>
  </si>
  <si>
    <t>Blake Griffin ,  115 ,  1905 , 100 ,  0.15163478260869565 ,  116.0 ,  132.0 ,  59.81892173913044 ,  35.4576353740011</t>
  </si>
  <si>
    <t>James Harden ,  75 ,  1173 , 35 ,  0.1776 ,  45.0 ,  55.0 ,  19.734293333333333 ,  14.492668950218322</t>
  </si>
  <si>
    <t>Tyreke Evans ,  79 ,  1004 , 39 ,  0.10369620253164558 ,  44.0 ,  52.0 ,  18.66946835443038 ,  14.13968522274685</t>
  </si>
  <si>
    <t>Stephen Curry ,  92 ,  1467 , 50 ,  0.27552173913043476 ,  72.0 ,  82.0 ,  34.41545652173913 ,  21.6846555698469</t>
  </si>
  <si>
    <t>Jordan Hill ,  106 ,  908 , 61 ,  0.0011509433962264152 ,  44.0 ,  53.0 ,  20.571867924528302 ,  13.440641167794936</t>
  </si>
  <si>
    <t>DeMar DeRozan ,  94 ,  1583 , 27 ,  0.2863404255319149 ,  42.0 ,  52.0 ,  18.92448936170213 ,  13.224375473123189</t>
  </si>
  <si>
    <t>Brandon Jennings ,  77 ,  977 , 12 ,  0.2744935064935065 ,  19.0 ,  24.0 ,  8.020493506493507 ,  6.026764613331376</t>
  </si>
  <si>
    <t>Gerald Henderson ,  133 ,  1457 , 41 ,  0.11912781954887218 ,  46.0 ,  55.0 ,  22.91175939849624 ,  13.82833758494359</t>
  </si>
  <si>
    <t>Ty Lawson ,  78 ,  927 , 18 ,  0.2745641025641026 ,  27.0 ,  33.0 ,  12.39074358974359 ,  8.444082222200317</t>
  </si>
  <si>
    <t>Jeff Teague ,  107 ,  1301 , 29 ,  0.31416822429906544 ,  45.0 ,  54.0 ,  21.646448598130842 ,  13.4892255898444</t>
  </si>
  <si>
    <t>Darren Collison ,  80 ,  710 , 22 ,  0.121075 ,  26.0 ,  32.0 ,  11.715175 ,  8.021692447319019</t>
  </si>
  <si>
    <t>Taj Gibson ,  123 ,  1157 , 38 ,  0.15121951219512195 ,  46.0 ,  55.0 ,  22.41978861788618 ,  13.67677119057053</t>
  </si>
  <si>
    <t>DeMarre Carroll ,  114 ,  1004 , 39 ,  0.03887719298245614 ,  37.0 ,  45.0 ,  17.795877192982456 ,  11.202325910697288</t>
  </si>
  <si>
    <t>Jodie Meeks ,  112 ,  1116 , 34 ,  0.09741071428571428 ,  37.0 ,  44.0 ,  19.639857142857142 ,  10.741394095854083</t>
  </si>
  <si>
    <t>Danny Green ,  111 ,  864 , 24 ,  0.030234234234234235 ,  21.0 ,  28.0 ,  8.752252252252251 ,  6.780243515875149</t>
  </si>
  <si>
    <t>Wesley Matthews ,  110 ,  1291 , 25 ,  0.2792909090909091 ,  39.0 ,  48.0 ,  17.520454545454545 ,  12.033562903688367</t>
  </si>
  <si>
    <t>Tim Duncan ,  119 ,  1313 , 69 ,  0.050100840336134454 ,  69.0 ,  82.0 ,  33.52581512605042 ,  20.668543609161357</t>
  </si>
  <si>
    <t>John Wall ,  62 ,  869 , 28 ,  0.1089032258064516 ,  32.0 ,  40.0 ,  13.93741935483871 ,  10.143897885330496</t>
  </si>
  <si>
    <t>Evan Turner ,  129 ,  1299 , 29 ,  0.1134108527131783 ,  33.0 ,  39.0 ,  15.78768992248062 ,  9.839419710782604</t>
  </si>
  <si>
    <t>Derrick Favors ,  129 ,  1420 , 43 ,  0.4031472868217054 ,  81.0 ,  94.0 ,  37.053131782945734 ,  25.238509678903203</t>
  </si>
  <si>
    <t>Wesley Johnson ,  113 ,  945 , 21 ,  0.06623008849557523 ,  22.0 ,  28.0 ,  9.522938053097345 ,  6.779919951864086</t>
  </si>
  <si>
    <t>DeMarcus Cousins ,  94 ,  1574 , 54 ,  0.16448936170212766 ,  66.0 ,  78.0 ,  31.124021276595744 ,  20.664523036837142</t>
  </si>
  <si>
    <t>Greg Monroe ,  121 ,  1474 , 58 ,  0.11484297520661157 ,  66.0 ,  78.0 ,  31.796330578512396 ,  20.183739624089288</t>
  </si>
  <si>
    <t>Gordon Hayward ,  97 ,  1243 , 31 ,  0.06255670103092784 ,  32.0 ,  38.0 ,  13.998969072164948 ,  9.834645207625348</t>
  </si>
  <si>
    <t>Paul George ,  37 ,  540 , 13 ,  0.23156756756756758 ,  19.0 ,  26.0 ,  7.88 ,  6.367321979387346</t>
  </si>
  <si>
    <t>Eric Bledsoe ,  84 ,  1015 , 26 ,  0.35435714285714287 ,  42.0 ,  51.0 ,  20.106785714285714 ,  12.89065743832241</t>
  </si>
  <si>
    <t>Avery Bradley ,  102 ,  1268 , 40 ,  0.06196078431372549 ,  41.0 ,  50.0 ,  19.285333333333334 ,  12.581299403988861</t>
  </si>
  <si>
    <t>Greivis Vasquez ,  136 ,  1151 , 30 ,  0.054764705882352945 ,  30.0 ,  38.0 ,  12.82110294117647 ,  9.239856693948084</t>
  </si>
  <si>
    <t>Lance Stephenson ,  117 ,  1156 , 28 ,  0.27273504273504273 ,  38.0 ,  46.0 ,  19.162239316239315 ,  11.867502985978765</t>
  </si>
  <si>
    <t>Timofey Mozgov ,  143 ,  917 , 51 ,  0.02820979020979021 ,  47.0 ,  56.0 ,  22.018433566433565 ,  14.114484800468258</t>
  </si>
  <si>
    <t>Jeremy Lin ,  97 ,  839 , 26 ,  0.013628865979381443 ,  21.0 ,  27.0 ,  9.680432989690722 ,  6.541234838666304</t>
  </si>
  <si>
    <t>Vince Carter ,  113 ,  888 , 8 ,  0.48982300884955754 ,  17.0 ,  21.0 ,  7.882212389380531 ,  5.230839664997241</t>
  </si>
  <si>
    <t>Dirk Nowitzki ,  122 ,  1782 , 58 ,  0.17637704918032787 ,  72.0 ,  85.0 ,  34.42772131147541 ,  22.180415716684745</t>
  </si>
  <si>
    <t>Paul Pierce ,  125 ,  1074 , 39 ,  0.087248 ,  42.0 ,  51.0 ,  19.695152 ,  13.13831814567207</t>
  </si>
  <si>
    <t>Manu Ginobili ,  73 ,  543 , 9 ,  0.477972602739726 ,  20.0 ,  24.0 ,  8.759534246575342 ,  6.165241570181187</t>
  </si>
  <si>
    <t>Isaiah Thomas ,  64 ,  757 , 14 ,  0.4090625 ,  24.0 ,  30.0 ,  12.09359375 ,  7.11546003150611</t>
  </si>
  <si>
    <t>Kyrie Irving ,  91 ,  1398 , 45 ,  0.13835164835164834 ,  54.0 ,  65.0 ,  25.565384615384616 ,  16.21390834293724</t>
  </si>
  <si>
    <t>Enes Kanter ,  136 ,  1539 , 80 ,  0.033705882352941176 ,  76.0 ,  88.0 ,  34.52386764705882 ,  23.87263547355153</t>
  </si>
  <si>
    <t>Tristan Thompson ,  140 ,  1033 , 53 ,  0.008328571428571428 ,  44.0 ,  52.0 ,  22.488742857142856 ,  13.163152645261277</t>
  </si>
  <si>
    <t>Jonas Valanciunas ,  141 ,  1140 , 74 ,  0.0175177304964539 ,  65.0 ,  77.0 ,  30.08936170212766 ,  19.550473329154826</t>
  </si>
  <si>
    <t>Brandon Knight ,  98 ,  1404 , 31 ,  0.19953061224489796 ,  40.0 ,  48.0 ,  19.002938775510206 ,  12.327387442581534</t>
  </si>
  <si>
    <t>Kemba Walker ,  59 ,  844 , 32 ,  0.007898305084745762 ,  25.0 ,  31.0 ,  11.121254237288136 ,  7.966389722236155</t>
  </si>
  <si>
    <t>Klay Thompson ,  114 ,  1786 , 63 ,  0.15156140350877192 ,  78.0 ,  91.0 ,  36.06863157894737 ,  23.510743163335693</t>
  </si>
  <si>
    <t>Alec Burks ,  65 ,  669 , 19 ,  0.18787692307692308 ,  25.0 ,  30.0 ,  11.621692307692308 ,  7.465031726292676</t>
  </si>
  <si>
    <t>Markieff Morris ,  114 ,  1316 , 53 ,  0.034771929824561405 ,  50.0 ,  59.0 ,  22.357964912280703 ,  15.726784663700903</t>
  </si>
  <si>
    <t>Marcus Morris ,  120 ,  958 , 26 ,  0.1073 ,  30.0 ,  37.0 ,  12.116783333333334 ,  9.520282470584695</t>
  </si>
  <si>
    <t>Kawhi Leonard ,  103 ,  1136 , 47 ,  0.09118446601941747 ,  51.0 ,  60.0 ,  23.688543689320387 ,  15.684305581328093</t>
  </si>
  <si>
    <t>Nikola Vucevic ,  95 ,  1349 , 63 ,  0.10218947368421052 ,  70.0 ,  82.0 ,  31.96263157894737 ,  21.749132672871365</t>
  </si>
  <si>
    <t>Tobias Harris ,  101 ,  1295 , 41 ,  0.18615841584158416 ,  53.0 ,  63.0 ,  24.732534653465347 ,  15.996846437712948</t>
  </si>
  <si>
    <t>Kenneth Faried ,  127 ,  1219 , 77 ,  0.026976377952755905 ,  72.0 ,  83.0 ,  36.156236220472444 ,  21.02123597453194</t>
  </si>
  <si>
    <t>Reggie Jackson ,  97 ,  1093 , 33 ,  0.10402061855670103 ,  37.0 ,  44.0 ,  17.816 ,  11.110815742969857</t>
  </si>
  <si>
    <t>Jimmy Butler ,  95 ,  1129 , 23 ,  0.2764421052631579 ,  36.0 ,  44.0 ,  15.736568421052631 ,  11.185846960524087</t>
  </si>
  <si>
    <t>Chandler Parsons ,  118 ,  1493 , 64 ,  0.03754237288135593 ,  61.0 ,  73.0 ,  30.547220338983053 ,  18.50088245450791</t>
  </si>
  <si>
    <t>Jamal Crawford ,  68 ,  877 , 8 ,  0.665 ,  23.0 ,  29.0 ,  11.163088235294119 ,  7.0466318106289245</t>
  </si>
  <si>
    <t>Andrew Wiggins ,  64 ,  854 , 25 ,  0.08190625 ,  27.0 ,  33.0 ,  11.78484375 ,  8.164258327495887</t>
  </si>
  <si>
    <t>k =  5</t>
  </si>
  <si>
    <t>LaMarcus Aldridge ,  76 ,  1463 , 30 ,  0.07181578947368421 ,  32.0 ,  40.0 ,  14.83113157894737 ,  9.426121839338562</t>
  </si>
  <si>
    <t>Randy Foye ,  95 ,  835 , 6 ,  0.16728421052631579 ,  9.0 ,  12.0 ,  2.880315789473684 ,  2.918047635927174</t>
  </si>
  <si>
    <t>Rudy Gay ,  100 ,  1547 , 30 ,  0.08812 ,  33.0 ,  40.0 ,  15.41602 ,  10.034025481311078</t>
  </si>
  <si>
    <t>JJ Redick ,  93 ,  1072 , 9 ,  0.3851182795698925 ,  18.0 ,  24.0 ,  7.428688172043011 ,  5.70153069426115</t>
  </si>
  <si>
    <t>Mike Dunleavy ,  123 ,  1025 , 6 ,  0.24804878048780488 ,  10.0 ,  13.0 ,  3.583691056910569 ,  3.2040529266207023</t>
  </si>
  <si>
    <t>Kyle Lowry ,  91 ,  1222 , 6 ,  0.38496703296703294 ,  14.0 ,  19.0 ,  5.008593406593406 ,  4.6320850453817055</t>
  </si>
  <si>
    <t>PJ Tucker ,  130 ,  926 , 8 ,  0.16324615384615385 ,  11.0 ,  15.0 ,  3.9100923076923078 ,  3.6193339366968393</t>
  </si>
  <si>
    <t>Paul Millsap ,  107 ,  1415 , 18 ,  0.2484859813084112 ,  27.0 ,  33.0 ,  12.050822429906543 ,  8.287890968562907</t>
  </si>
  <si>
    <t>Jose Juan Barea ,  124 ,  890 , 10 ,  0.009193548387096774 ,  7.0 ,  9.0 ,  2.0816129032258064 ,  2.2936132879524864</t>
  </si>
  <si>
    <t>Pau Gasol ,  102 ,  1501 , 12 ,  0.591156862745098 ,  34.0 ,  42.0 ,  15.367392156862746 ,  10.679336078685187</t>
  </si>
  <si>
    <t>Joe Johnson ,  98 ,  1167 , 5 ,  0.6504897959183673 ,  19.0 ,  25.0 ,  7.7995918367346935 ,  6.026909032535996</t>
  </si>
  <si>
    <t>Zach Randolph ,  107 ,  1485 , 24 ,  0.2941495327102804 ,  38.0 ,  47.0 ,  17.753663551401868 ,  11.12699548999935</t>
  </si>
  <si>
    <t>Tony Parker ,  108 ,  1378 , 37 ,  0.03590740740740741 ,  35.0 ,  43.0 ,  16.827537037037036 ,  10.718976640990954</t>
  </si>
  <si>
    <t>Chris Paul ,  98 ,  1270 , 18 ,  0.3635510204081633 ,  32.0 ,  39.0 ,  14.44530612244898 ,  9.863492179117573</t>
  </si>
  <si>
    <t>Anthony Davis ,  89 ,  1343 , 35 ,  0.1576629213483146 ,  44.0 ,  53.0 ,  19.547078651685393 ,  13.672878403074993</t>
  </si>
  <si>
    <t>Bradley Beal ,  114 ,  1602 , 13 ,  0.28485964912280703 ,  22.0 ,  27.0 ,  9.023105263157895 ,  6.677117996808626</t>
  </si>
  <si>
    <t>Dion Waiters ,  111 ,  1395 , 12 ,  0.1363963963963964 ,  16.0 ,  21.0 ,  5.820738738738739 ,  5.051121594673305</t>
  </si>
  <si>
    <t>Damian Lillard ,  94 ,  1393 , 9 ,  0.43936170212765957 ,  20.0 ,  26.0 ,  8.40931914893617 ,  6.442811462121318</t>
  </si>
  <si>
    <t>Terrence Ross ,  131 ,  1129 , 1 ,  0.7382290076335878 ,  10.0 ,  14.0 ,  3.446091603053435 ,  3.5404460180711776</t>
  </si>
  <si>
    <t>Andre Drummond ,  136 ,  1406 , 51 ,  0.11310294117647059 ,  58.0 ,  69.0 ,  27.226294117647058 ,  17.70096366025675</t>
  </si>
  <si>
    <t>Harrison Barnes ,  134 ,  1068 , 11 ,  0.13861194029850746 ,  14.0 ,  19.0 ,  5.243805970149253 ,  4.591212289876239</t>
  </si>
  <si>
    <t>Evan Fournier ,  104 ,  793 , 8 ,  0.06617307692307692 ,  8.0 ,  11.0 ,  2.476769230769231 ,  2.7797894816208975</t>
  </si>
  <si>
    <t>Jared Sullinger ,  93 ,  1043 , 6 ,  0.3959569892473118 ,  13.0 ,  16.0 ,  5.053354838709677 ,  4.1137133021339745</t>
  </si>
  <si>
    <t>Tony Wroten ,  52 ,  603 , 8 ,  0.14373076923076922 ,  10.0 ,  13.0 ,  3.9066923076923077 ,  3.36453011657281</t>
  </si>
  <si>
    <t>Nene ,  109 ,  1080 , 28 ,  0.02688073394495413 ,  25.0 ,  31.0 ,  10.746605504587157 ,  7.795482839284836</t>
  </si>
  <si>
    <t>Draymond Green ,  134 ,  978 , 0 ,  1.0 ,  9.0 ,  13.0 ,  2.7448507462686567 ,  3.2153949259713226</t>
  </si>
  <si>
    <t>Khris Middleton ,  124 ,  1258 , 20 ,  0.061548387096774196 ,  20.0 ,  26.0 ,  8.721177419354838 ,  6.303205781966245</t>
  </si>
  <si>
    <t>Carlos Boozer ,  101 ,  1133 , 14 ,  0.33263366336633665 ,  24.0 ,  31.0 ,  10.533009900990098 ,  7.610742762434004</t>
  </si>
  <si>
    <t>Matt Barnes ,  121 ,  991 , 14 ,  0.02459504132231405 ,  12.0 ,  17.0 ,  4.261140495867768 ,  3.822459165402556</t>
  </si>
  <si>
    <t>Luis Scola ,  132 ,  920 , 8 ,  0.16554545454545455 ,  11.0 ,  16.0 ,  3.780560606060606 ,  3.8306555718262203</t>
  </si>
  <si>
    <t>Victor Oladipo ,  97 ,  1183 , 9 ,  0.22037113402061856 ,  15.0 ,  20.0 ,  4.84820618556701 ,  4.9476069273945935</t>
  </si>
  <si>
    <t>Kevin Durant ,  64 ,  1189 , 49 ,  0.010125 ,  40.0 ,  49.0 ,  18.27284375 ,  12.24403528409184</t>
  </si>
  <si>
    <t>Al Horford ,  81 ,  1006 , 29 ,  0.19580246913580246 ,  38.0 ,  47.0 ,  18.892345679012347 ,  11.057221122064732</t>
  </si>
  <si>
    <t>Mike Conley ,  85 ,  1047 , 13 ,  0.21590588235294117 ,  19.0 ,  24.0 ,  7.841082352941177 ,  5.975673568160997</t>
  </si>
  <si>
    <t>Jeff Green ,  113 ,  1418 , 12 ,  0.2668141592920354 ,  19.0 ,  24.0 ,  8.07 ,  5.98031897512564</t>
  </si>
  <si>
    <t>Corey Brewer ,  99 ,  905 , 5 ,  0.4020808080808081 ,  12.0 ,  17.0 ,  4.355434343434343 ,  4.011605608583741</t>
  </si>
  <si>
    <t>Joakim Noah ,  121 ,  972 , 16 ,  0.056975206611570246 ,  16.0 ,  21.0 ,  6.231768595041323 ,  5.21246779447463</t>
  </si>
  <si>
    <t>Spencer Hawes ,  126 ,  1040 , 15 ,  0.045253968253968255 ,  14.0 ,  18.0 ,  6.157492063492064 ,  4.50995259846633</t>
  </si>
  <si>
    <t>Thaddeus Young ,  130 ,  1835 , 17 ,  0.4069384615384615 ,  33.0 ,  40.0 ,  14.886369230769231 ,  9.863947347743359</t>
  </si>
  <si>
    <t>Rodney Stuckey ,  96 ,  996 , 7 ,  0.4489375 ,  16.0 ,  21.0 ,  6.5881875 ,  5.254737351334548</t>
  </si>
  <si>
    <t>Nick Young ,  58 ,  715 , 4 ,  0.5100344827586207 ,  12.0 ,  17.0 ,  4.422448275862069 ,  3.902101936544801</t>
  </si>
  <si>
    <t>Marco Belinelli ,  107 ,  816 , 7 ,  0.3859065420560748 ,  13.0 ,  19.0 ,  5.65970093457944 ,  4.3472335498254635</t>
  </si>
  <si>
    <t>Wilson Chandler ,  119 ,  1445 , 9 ,  0.2828235294117647 ,  16.0 ,  21.0 ,  6.0730756302521005 ,  5.177368766779245</t>
  </si>
  <si>
    <t>Aaron Brooks ,  98 ,  888 , 13 ,  0.010224489795918367 ,  9.0 ,  13.0 ,  3.1865714285714284 ,  3.0866677230717694</t>
  </si>
  <si>
    <t>Arron Afflalo ,  115 ,  1393 , 9 ,  0.5374608695652174 ,  23.0 ,  28.0 ,  10.01695652173913 ,  7.081889292740418</t>
  </si>
  <si>
    <t>Marc Gasol ,  106 ,  1328 , 16 ,  0.3373018867924528 ,  29.0 ,  36.0 ,  12.09167924528302 ,  9.084734791766849</t>
  </si>
  <si>
    <t>LeBron James ,  71 ,  1154 , 22 ,  0.39825352112676055 ,  40.0 ,  50.0 ,  18.716704225352114 ,  12.356924151664208</t>
  </si>
  <si>
    <t>Chris Bosh ,  104 ,  1419 , 34 ,  0.05307692307692308 ,  34.0 ,  42.0 ,  14.729538461538462 ,  10.426875618880166</t>
  </si>
  <si>
    <t>Dwyane Wade ,  86 ,  1322 , 35 ,  0.07460465116279069 ,  37.0 ,  46.0 ,  17.332162790697673 ,  11.089855744716225</t>
  </si>
  <si>
    <t>David West ,  124 ,  1324 , 28 ,  0.0405 ,  27.0 ,  33.0 ,  11.396322580645162 ,  8.407373455013806</t>
  </si>
  <si>
    <t>Boris Diaw ,  134 ,  983 , 19 ,  0.031044776119402984 ,  17.0 ,  22.0 ,  6.7581044776119406 ,  5.412490528437691</t>
  </si>
  <si>
    <t>Mo Williams ,  81 ,  783 , 7 ,  0.14664197530864198 ,  9.0 ,  13.0 ,  3.1773086419753085 ,  3.086672852733483</t>
  </si>
  <si>
    <t>Kyle Korver ,  128 ,  1015 , 12 ,  0.203265625 ,  17.0 ,  23.0 ,  7.17353125 ,  5.458615269028716</t>
  </si>
  <si>
    <t>Jarrett Jack ,  93 ,  767 , 6 ,  0.15658064516129033 ,  8.0 ,  12.0 ,  2.5329032258064514 ,  2.866223989568277</t>
  </si>
  <si>
    <t>Dwight Howard ,  96 ,  1000 , 51 ,  0.05529166666666667 ,  51.0 ,  61.0 ,  25.133416666666665 ,  15.278234518197959</t>
  </si>
  <si>
    <t>Luol Deng ,  112 ,  1304 , 15 ,  0.14992857142857144 ,  19.0 ,  25.0 ,  8.143732142857143 ,  6.046253414869739</t>
  </si>
  <si>
    <t>Al Jefferson ,  105 ,  1737 , 35 ,  0.18333333333333332 ,  45.0 ,  55.0 ,  21.2584 ,  13.71165826211924</t>
  </si>
  <si>
    <t>Josh Smith ,  128 ,  1741 , 10 ,  0.36140625 ,  19.0 ,  26.0 ,  8.07028125 ,  6.19655382417505</t>
  </si>
  <si>
    <t>J.R. Smith ,  91 ,  949 , 6 ,  0.27356043956043957 ,  11.0 ,  14.0 ,  3.8182857142857145 ,  3.5699527078029707</t>
  </si>
  <si>
    <t>Jameer Nelson ,  95 ,  804 , 2 ,  0.6033263157894737 ,  8.0 ,  11.0 ,  2.798 ,  2.723313809545855</t>
  </si>
  <si>
    <t>Kevin Martin ,  77 ,  1134 , 8 ,  0.3727532467532468 ,  17.0 ,  22.0 ,  6.523584415584415 ,  5.464267837150808</t>
  </si>
  <si>
    <t>Ben McLemore ,  124 ,  1096 , 12 ,  0.029129032258064517 ,  10.0 ,  14.0 ,  3.4493548387096773 ,  3.412191080649453</t>
  </si>
  <si>
    <t>Trevor Ariza ,  126 ,  1327 , 12 ,  0.19546031746031747 ,  17.0 ,  22.0 ,  6.600730158730158 ,  5.604732646460204</t>
  </si>
  <si>
    <t>Kentavious Caldwell-Pope ,  125 ,  1078 , 4 ,  0.357456 ,  9.0 ,  13.0 ,  2.98064 ,  3.1178930691093307</t>
  </si>
  <si>
    <t>Michael Carter-Williams ,  103 ,  1419 , 9 ,  0.26106796116504855 ,  15.0 ,  19.0 ,  5.841067961165049 ,  4.739333739709851</t>
  </si>
  <si>
    <t>Tim Hardaway Jr. ,  114 ,  1024 , 13 ,  0.02792982456140351 ,  11.0 ,  15.0 ,  3.8335964912280702 ,  3.6179490718228027</t>
  </si>
  <si>
    <t>Trey Burke ,  97 ,  1192 , 6 ,  0.19348453608247423 ,  9.0 ,  12.0 ,  3.0285979381443298 ,  3.036639945389294</t>
  </si>
  <si>
    <t>Giannis Antetokounmpo ,  117 ,  817 , 5 ,  0.2742735042735043 ,  11.0 ,  15.0 ,  3.0705641025641026 ,  3.8020658158576217</t>
  </si>
  <si>
    <t>Channing Frye ,  129 ,  996 , 6 ,  0.30431007751937983 ,  10.0 ,  14.0 ,  3.9908062015503876 ,  3.3703300693545803</t>
  </si>
  <si>
    <t>Deron Williams ,  98 ,  1080 , 12 ,  0.06606122448979591 ,  12.0 ,  17.0 ,  4.652734693877551 ,  4.120756155969387</t>
  </si>
  <si>
    <t>Gerald Green ,  113 ,  1205 , 7 ,  0.36580530973451325 ,  14.0 ,  18.0 ,  5.432867256637168 ,  4.643770907249449</t>
  </si>
  <si>
    <t>David Lee ,  95 ,  1032 , 34 ,  0.07926315789473684 ,  36.0 ,  43.0 ,  18.30324210526316 ,  10.658079318146932</t>
  </si>
  <si>
    <t>Brandon Bass ,  136 ,  1113 , 10 ,  0.40083823529411766 ,  21.0 ,  27.0 ,  8.538808823529411 ,  6.8782495887128166</t>
  </si>
  <si>
    <t>CJ Miles ,  91 ,  869 , 11 ,  0.04384615384615385 ,  10.0 ,  14.0 ,  3.4224835164835166 ,  3.3910146277732642</t>
  </si>
  <si>
    <t>Ersan Ilyasova ,  88 ,  876 , 25 ,  0.0 ,  14.0 ,  17.0 ,  5.4876818181818185 ,  4.298586775022309</t>
  </si>
  <si>
    <t>Monta Ellis ,  109 ,  1642 , 32 ,  0.026954128440366973 ,  29.0 ,  36.0 ,  12.42429357798165 ,  9.200216027881277</t>
  </si>
  <si>
    <t>Lou Williams ,  77 ,  733 , 5 ,  0.16620779220779222 ,  7.0 ,  10.0 ,  2.1084935064935064 ,  2.548479672190505</t>
  </si>
  <si>
    <t>Amir Johnson ,  132 ,  947 , 25 ,  0.11181818181818182 ,  30.0 ,  36.0 ,  12.441727272727272 ,  9.138136773062415</t>
  </si>
  <si>
    <t>Marcin Gortat ,  137 ,  1344 , 51 ,  0.015124087591240875 ,  43.0 ,  53.0 ,  19.09575182481752 ,  13.378078246648341</t>
  </si>
  <si>
    <t>Jose Calderon ,  105 ,  921 , 5 ,  0.42432380952380955 ,  12.0 ,  15.0 ,  4.4308 ,  3.797045458924986</t>
  </si>
  <si>
    <t>O.J. Mayo ,  85 ,  764 , 2 ,  0.5914823529411765 ,  8.0 ,  11.0 ,  2.742376470588235 ,  2.711588551022187</t>
  </si>
  <si>
    <t>Russell Westbrook ,  62 ,  1127 , 12 ,  0.20796774193548387 ,  18.0 ,  23.0 ,  7.166967741935484 ,  5.654942956181706</t>
  </si>
  <si>
    <t>Kevin Love ,  107 ,  1579 , 19 ,  0.1957196261682243 ,  26.0 ,  32.0 ,  11.785495327102804 ,  7.803471961966232</t>
  </si>
  <si>
    <t>Eric Gordon ,  105 ,  1223 , 3 ,  0.7445142857142857 ,  15.0 ,  19.0 ,  6.027219047619048 ,  4.596168391753229</t>
  </si>
  <si>
    <t>D.J. Augustin ,  107 ,  864 , 8 ,  0.14013084112149532 ,  10.0 ,  14.0 ,  3.7957009345794392 ,  3.3226355129146157</t>
  </si>
  <si>
    <t>Jerryd Bayless ,  113 ,  799 , 7 ,  0.10707964601769912 ,  8.0 ,  11.0 ,  2.8539469026548674 ,  2.74025633398442</t>
  </si>
  <si>
    <t>Robin Lopez ,  122 ,  907 , 17 ,  0.31101639344262294 ,  27.0 ,  34.0 ,  12.102754098360656 ,  8.589730751435422</t>
  </si>
  <si>
    <t>Marreese Speights ,  117 ,  766 , 15 ,  0.028376068376068375 ,  13.0 ,  17.0 ,  4.383452991452992 ,  4.281273838904449</t>
  </si>
  <si>
    <t>Roy Hibbert ,  142 ,  1272 , 14 ,  0.1472112676056338 ,  18.0 ,  22.0 ,  7.1731690140845075 ,  5.647763968569657</t>
  </si>
  <si>
    <t>JJ Hickson ,  116 ,  912 , 17 ,  0.16351724137931034 ,  21.0 ,  27.0 ,  9.943637931034482 ,  6.535527248862956</t>
  </si>
  <si>
    <t>Courtney Lee ,  126 ,  968 , 9 ,  0.19046031746031747 ,  13.0 ,  18.0 ,  4.943253968253968 ,  4.356240065346341</t>
  </si>
  <si>
    <t>Serge Ibaka ,  120 ,  1385 , 29 ,  0.30485 ,  43.0 ,  51.0 ,  21.1769 ,  12.887443749246783</t>
  </si>
  <si>
    <t>Nicolas Batum ,  140 ,  1266 , 7 ,  0.45854285714285714 ,  16.0 ,  20.0 ,  6.595428571428571 ,  5.058427956169298</t>
  </si>
  <si>
    <t>George Hill ,  88 ,  808 , 8 ,  0.22690909090909092 ,  12.0 ,  17.0 ,  4.625863636363636 ,  4.094899730101676</t>
  </si>
  <si>
    <t>Mario Chalmers ,  111 ,  846 , 4 ,  0.46425225225225225 ,  10.0 ,  13.0 ,  3.7756396396396394 ,  3.207997508459842</t>
  </si>
  <si>
    <t>Goran Dragic ,  110 ,  1448 , 36 ,  0.10541818181818181 ,  40.0 ,  47.0 ,  18.07198181818182 ,  12.36724855413157</t>
  </si>
  <si>
    <t>Anthony Morrow ,  114 ,  818 , 7 ,  0.13649122807017544 ,  10.0 ,  13.0 ,  3.035438596491228 ,  3.17261974331991</t>
  </si>
  <si>
    <t>Carmelo Anthony ,  65 ,  1301 , 15 ,  0.32513846153846154 ,  26.0 ,  33.0 ,  11.438123076923077 ,  8.022830050276605</t>
  </si>
  <si>
    <t>Blake Griffin ,  115 ,  1905 , 47 ,  0.1957391304347826 ,  60.0 ,  71.0 ,  29.49368695652174 ,  18.48585109158528</t>
  </si>
  <si>
    <t>James Harden ,  75 ,  1173 , 13 ,  0.25664 ,  22.0 ,  28.0 ,  8.31056 ,  7.030556579655221</t>
  </si>
  <si>
    <t>Tyreke Evans ,  79 ,  1004 , 19 ,  0.09756962025316455 ,  21.0 ,  28.0 ,  8.320962025316456 ,  7.051425645319485</t>
  </si>
  <si>
    <t>Stephen Curry ,  92 ,  1467 , 21 ,  0.3109782608695652 ,  36.0 ,  45.0 ,  15.513608695652174 ,  11.130796956658546</t>
  </si>
  <si>
    <t>Jordan Hill ,  106 ,  908 , 32 ,  0.001981132075471698 ,  21.0 ,  27.0 ,  9.167547169811321 ,  6.669763059258021</t>
  </si>
  <si>
    <t>DeMar DeRozan ,  94 ,  1583 , 11 ,  0.25393617021276593 ,  18.0 ,  25.0 ,  7.01563829787234 ,  5.965149684860272</t>
  </si>
  <si>
    <t>Brandon Jennings ,  77 ,  977 , 4 ,  0.3296363636363636 ,  8.0 ,  11.0 ,  2.745948051948052 ,  2.7104996323633137</t>
  </si>
  <si>
    <t>Gerald Henderson ,  133 ,  1457 , 14 ,  0.25550375939849623 ,  21.0 ,  27.0 ,  9.224255639097745 ,  6.671276862208811</t>
  </si>
  <si>
    <t>Ty Lawson ,  78 ,  927 , 4 ,  0.5373076923076923 ,  13.0 ,  18.0 ,  4.755179487179487 ,  4.119249538769913</t>
  </si>
  <si>
    <t>Jeff Teague ,  107 ,  1301 , 11 ,  0.3740747663551402 ,  22.0 ,  28.0 ,  9.06385046728972 ,  6.726288066624121</t>
  </si>
  <si>
    <t>Darren Collison ,  80 ,  710 , 9 ,  0.17585 ,  13.0 ,  17.0 ,  4.831425 ,  4.15105498269717</t>
  </si>
  <si>
    <t>Taj Gibson ,  123 ,  1157 , 11 ,  0.38578861788617885 ,  22.0 ,  27.0 ,  9.297479674796747 ,  6.563474453366402</t>
  </si>
  <si>
    <t>DeMarre Carroll ,  114 ,  1004 , 17 ,  0.06442105263157895 ,  18.0 ,  22.0 ,  6.978175438596491 ,  5.437825368761958</t>
  </si>
  <si>
    <t>Jodie Meeks ,  112 ,  1116 , 12 ,  0.2425892857142857 ,  17.0 ,  22.0 ,  7.8598035714285714 ,  5.288002454747522</t>
  </si>
  <si>
    <t>Danny Green ,  111 ,  864 , 7 ,  0.152018018018018 ,  10.0 ,  13.0 ,  3.2426306306306305 ,  3.195516949615192</t>
  </si>
  <si>
    <t>Wesley Matthews ,  110 ,  1291 , 5 ,  0.5650363636363637 ,  17.0 ,  22.0 ,  6.4918 ,  5.431494523609501</t>
  </si>
  <si>
    <t>Tim Duncan ,  119 ,  1313 , 31 ,  0.0898655462184874 ,  35.0 ,  43.0 ,  15.535546218487395 ,  10.620227900946002</t>
  </si>
  <si>
    <t>John Wall ,  62 ,  869 , 15 ,  0.0645483870967742 ,  15.0 ,  20.0 ,  5.841935483870968 ,  4.958997960276976</t>
  </si>
  <si>
    <t>Evan Turner ,  129 ,  1299 , 10 ,  0.20863565891472868 ,  14.0 ,  18.0 ,  5.9034728682170545 ,  4.431614789736661</t>
  </si>
  <si>
    <t>Derrick Favors ,  129 ,  1420 , 10 ,  0.6562325581395348 ,  41.0 ,  50.0 ,  17.574852713178295 ,  12.934658453913341</t>
  </si>
  <si>
    <t>Wesley Johnson ,  113 ,  945 , 7 ,  0.17971681415929203 ,  10.0 ,  14.0 ,  3.61329203539823 ,  3.3672283649342796</t>
  </si>
  <si>
    <t>DeMarcus Cousins ,  94 ,  1574 , 23 ,  0.2198936170212766 ,  33.0 ,  41.0 ,  14.092872340425531 ,  10.419686371963698</t>
  </si>
  <si>
    <t>Greg Monroe ,  121 ,  1474 , 21 ,  0.25221487603305787 ,  31.0 ,  38.0 ,  13.828115702479339 ,  9.811539483074776</t>
  </si>
  <si>
    <t>Gordon Hayward ,  97 ,  1243 , 13 ,  0.08276288659793815 ,  14.0 ,  19.0 ,  5.417958762886598 ,  4.672169318702972</t>
  </si>
  <si>
    <t>Paul George ,  37 ,  540 , 7 ,  0.1445945945945946 ,  9.0 ,  13.0 ,  2.978 ,  3.190255823004829</t>
  </si>
  <si>
    <t>Eric Bledsoe ,  84 ,  1015 , 12 ,  0.3072142857142857 ,  20.0 ,  26.0 ,  8.483714285714285 ,  6.452125638245173</t>
  </si>
  <si>
    <t>Avery Bradley ,  102 ,  1268 , 16 ,  0.10719607843137255 ,  19.0 ,  23.0 ,  7.673156862745098 ,  5.849214547144884</t>
  </si>
  <si>
    <t>Greivis Vasquez ,  136 ,  1151 , 15 ,  0.03151470588235294 ,  13.0 ,  18.0 ,  4.775573529411765 ,  4.291739719289001</t>
  </si>
  <si>
    <t>Lance Stephenson ,  117 ,  1156 , 12 ,  0.22225641025641027 ,  17.0 ,  22.0 ,  7.418564102564103 ,  5.446757114687939</t>
  </si>
  <si>
    <t>Timofey Mozgov ,  143 ,  917 , 21 ,  0.06979020979020979 ,  22.0 ,  28.0 ,  9.354727272727272 ,  6.846817495795015</t>
  </si>
  <si>
    <t>Jeremy Lin ,  97 ,  839 , 9 ,  0.08771134020618557 ,  10.0 ,  14.0 ,  3.456865979381443 ,  3.22541698296472</t>
  </si>
  <si>
    <t>Vince Carter ,  113 ,  888 , 1 ,  0.7633274336283186 ,  7.0 ,  10.0 ,  2.5463185840707965 ,  2.4754289313327926</t>
  </si>
  <si>
    <t>Dirk Nowitzki ,  122 ,  1782 , 25 ,  0.21121311475409837 ,  35.0 ,  43.0 ,  15.13360655737705 ,  10.966725460255342</t>
  </si>
  <si>
    <t>Paul Pierce ,  125 ,  1074 , 26 ,  0.00704 ,  20.0 ,  25.0 ,  8.251984 ,  6.29089819212996</t>
  </si>
  <si>
    <t>Manu Ginobili ,  73 ,  543 , 0 ,  1.0 ,  9.0 ,  12.0 ,  3.3099178082191782 ,  3.039674684078106</t>
  </si>
  <si>
    <t>Isaiah Thomas ,  64 ,  757 , 3 ,  0.68003125 ,  12.0 ,  16.0 ,  4.9983125 ,  3.9930639429320123</t>
  </si>
  <si>
    <t>Kyrie Irving ,  91 ,  1398 , 18 ,  0.20237362637362638 ,  26.0 ,  33.0 ,  10.965208791208791 ,  7.976782139939299</t>
  </si>
  <si>
    <t>Enes Kanter ,  136 ,  1539 , 36 ,  0.06411764705882353 ,  37.0 ,  46.0 ,  15.198294117647059 ,  11.802721646571014</t>
  </si>
  <si>
    <t>Tristan Thompson ,  140 ,  1033 , 21 ,  0.05391428571428571 ,  21.0 ,  26.0 ,  9.364885714285714 ,  6.414577248163207</t>
  </si>
  <si>
    <t>Jonas Valanciunas ,  141 ,  1140 , 38 ,  0.018680851063829787 ,  32.0 ,  40.0 ,  13.94441134751773 ,  9.790465145949689</t>
  </si>
  <si>
    <t>Brandon Knight ,  98 ,  1404 , 11 ,  0.26157142857142857 ,  17.0 ,  22.0 ,  7.151142857142857 ,  5.520804133974894</t>
  </si>
  <si>
    <t>Kemba Walker ,  59 ,  844 , 16 ,  0.015389830508474577 ,  12.0 ,  17.0 ,  4.146237288135593 ,  3.959545994942756</t>
  </si>
  <si>
    <t>Klay Thompson ,  114 ,  1786 , 32 ,  0.11931578947368421 ,  38.0 ,  48.0 ,  16.700929824561403 ,  11.792400727794996</t>
  </si>
  <si>
    <t>Alec Burks ,  65 ,  669 , 5 ,  0.48233846153846155 ,  13.0 ,  18.0 ,  5.081076923076923 ,  4.191248619932113</t>
  </si>
  <si>
    <t>Markieff Morris ,  114 ,  1316 , 22 ,  0.06489473684210527 ,  22.0 ,  29.0 ,  9.250157894736843 ,  7.330333515519841</t>
  </si>
  <si>
    <t>Marcus Morris ,  120 ,  958 , 10 ,  0.14655 ,  13.0 ,  17.0 ,  4.4873666666666665 ,  4.410046152315818</t>
  </si>
  <si>
    <t>Kawhi Leonard ,  103 ,  1136 , 22 ,  0.08654368932038835 ,  24.0 ,  30.0 ,  10.051766990291263 ,  7.648407397144634</t>
  </si>
  <si>
    <t>Nikola Vucevic ,  95 ,  1349 , 23 ,  0.24263157894736842 ,  35.0 ,  46.0 ,  14.746673684210526 ,  11.178532739084373</t>
  </si>
  <si>
    <t>Tobias Harris ,  101 ,  1295 , 17 ,  0.2123960396039604 ,  24.0 ,  31.0 ,  10.466435643564356 ,  7.5629112059592885</t>
  </si>
  <si>
    <t>Kenneth Faried ,  127 ,  1219 , 37 ,  0.03598425196850394 ,  35.0 ,  43.0 ,  16.448299212598425 ,  10.316007946001587</t>
  </si>
  <si>
    <t>Reggie Jackson ,  97 ,  1093 , 9 ,  0.38789690721649484 ,  18.0 ,  24.0 ,  7.4345979381443295 ,  5.644220736730998</t>
  </si>
  <si>
    <t>Jimmy Butler ,  95 ,  1129 , 10 ,  0.2518526315789474 ,  16.0 ,  21.0 ,  6.175978947368421 ,  5.26335892748697</t>
  </si>
  <si>
    <t>Chandler Parsons ,  118 ,  1493 , 28 ,  0.06422033898305085 ,  29.0 ,  35.0 ,  13.277474576271187 ,  8.901956044535671</t>
  </si>
  <si>
    <t>Jamal Crawford ,  68 ,  877 , 1 ,  0.853735294117647 ,  11.0 ,  15.0 ,  4.478852941176471 ,  3.6337098012293407</t>
  </si>
  <si>
    <t>Andrew Wiggins ,  64 ,  854 , 10 ,  0.13871875 ,  13.0 ,  17.0 ,  4.873625 ,  4.108401983664086</t>
  </si>
  <si>
    <t>k =  6</t>
  </si>
  <si>
    <t>LaMarcus Aldridge ,  76 ,  1463 , 14 ,  0.12257894736842105 ,  17.0 ,  22.0 ,  6.880657894736842 ,  5.345834048344344</t>
  </si>
  <si>
    <t>Randy Foye ,  95 ,  835 , 4 ,  0.06362105263157895 ,  4.0 ,  6.0 ,  0.939221052631579 ,  1.429549293558876</t>
  </si>
  <si>
    <t>Rudy Gay ,  100 ,  1547 , 8 ,  0.43962 ,  18.0 ,  22.0 ,  7.38192 ,  5.562141414383492</t>
  </si>
  <si>
    <t>JJ Redick ,  93 ,  1072 , 2 ,  0.6162580645161291 ,  9.0 ,  12.0 ,  3.0376129032258063 ,  3.041205247189415</t>
  </si>
  <si>
    <t>Mike Dunleavy ,  123 ,  1025 , 1 ,  0.5399674796747967 ,  5.0 ,  7.0 ,  1.2905853658536586 ,  1.716102356977357</t>
  </si>
  <si>
    <t>Kyle Lowry ,  91 ,  1222 , 0 ,  1.0 ,  7.0 ,  10.0 ,  1.868153846153846 ,  2.3977097814605464</t>
  </si>
  <si>
    <t>PJ Tucker ,  130 ,  926 , 1 ,  0.5143692307692308 ,  5.0 ,  8.0 ,  1.3591384615384616 ,  1.8427582660192432</t>
  </si>
  <si>
    <t>Paul Millsap ,  107 ,  1415 , 7 ,  0.3227289719626168 ,  13.0 ,  18.0 ,  5.046953271028038 ,  4.45314139541246</t>
  </si>
  <si>
    <t>Jose Juan Barea ,  124 ,  890 , 5 ,  0.014080645161290322 ,  3.0 ,  5.0 ,  0.6349032258064516 ,  1.1868069754961705</t>
  </si>
  <si>
    <t>Pau Gasol ,  102 ,  1501 , 5 ,  0.5835882352941176 ,  18.0 ,  23.0 ,  6.836137254901961 ,  5.721253117636299</t>
  </si>
  <si>
    <t>Joe Johnson ,  98 ,  1167 , 2 ,  0.6122448979591837 ,  9.0 ,  12.0 ,  3.024714285714286 ,  2.9931795632669926</t>
  </si>
  <si>
    <t>Zach Randolph ,  107 ,  1485 , 10 ,  0.3686728971962617 ,  20.0 ,  25.0 ,  8.14014953271028 ,  6.308616209781102</t>
  </si>
  <si>
    <t>Tony Parker ,  108 ,  1378 , 18 ,  0.0677962962962963 ,  19.0 ,  25.0 ,  7.951296296296296 ,  6.002965176661323</t>
  </si>
  <si>
    <t>Chris Paul ,  98 ,  1270 , 7 ,  0.43955102040816324 ,  16.0 ,  21.0 ,  6.497795918367347 ,  5.196843158639054</t>
  </si>
  <si>
    <t>Anthony Davis ,  89 ,  1343 , 13 ,  0.31265168539325844 ,  23.0 ,  29.0 ,  9.504629213483145 ,  7.2459613646825645</t>
  </si>
  <si>
    <t>Bradley Beal ,  114 ,  1602 , 7 ,  0.1713157894736842 ,  10.0 ,  14.0 ,  3.4482456140350877 ,  3.3592535839719115</t>
  </si>
  <si>
    <t>Dion Waiters ,  111 ,  1395 , 4 ,  0.22998198198198197 ,  7.0 ,  10.0 ,  2.112252252252252 ,  2.4598640131917513</t>
  </si>
  <si>
    <t>Damian Lillard ,  94 ,  1393 , 3 ,  0.5095957446808511 ,  10.0 ,  14.0 ,  3.3984255319148935 ,  3.252295698162191</t>
  </si>
  <si>
    <t>Terrence Ross ,  131 ,  1129 , 0 ,  1.0 ,  5.0 ,  7.0 ,  1.238671755725191 ,  1.7897581586073292</t>
  </si>
  <si>
    <t>Andre Drummond ,  136 ,  1406 , 23 ,  0.17079411764705882 ,  30.0 ,  39.0 ,  12.796779411764707 ,  9.6492964500399</t>
  </si>
  <si>
    <t>Harrison Barnes ,  134 ,  1068 , 4 ,  0.20292537313432835 ,  7.0 ,  9.0 ,  1.93344776119403 ,  2.2573271857199857</t>
  </si>
  <si>
    <t>Evan Fournier ,  104 ,  793 , 3 ,  0.11984615384615385 ,  4.0 ,  6.0 ,  0.8499615384615384 ,  1.4732447177983397</t>
  </si>
  <si>
    <t>Jared Sullinger ,  93 ,  1043 , 2 ,  0.49808602150537634 ,  7.0 ,  10.0 ,  2.1096129032258064 ,  2.3333132243323567</t>
  </si>
  <si>
    <t>Tony Wroten ,  52 ,  603 , 3 ,  0.2946923076923077 ,  6.0 ,  8.0 ,  1.7584230769230769 ,  1.9770574030240171</t>
  </si>
  <si>
    <t>Nene ,  109 ,  1080 , 10 ,  0.14313761467889907 ,  13.0 ,  18.0 ,  4.671302752293578 ,  4.35901621235041</t>
  </si>
  <si>
    <t>Draymond Green ,  134 ,  978 , 0 ,  1.0 ,  5.0 ,  8.0 ,  1.0248805970149253 ,  1.7058963768146924</t>
  </si>
  <si>
    <t>Khris Middleton ,  124 ,  1258 , 4 ,  0.3889032258064516 ,  10.0 ,  14.0 ,  3.304693548387097 ,  3.280025162613502</t>
  </si>
  <si>
    <t>Carlos Boozer ,  101 ,  1133 , 5 ,  0.4043762376237624 ,  12.0 ,  16.0 ,  4.333128712871287 ,  3.925682826808646</t>
  </si>
  <si>
    <t>Matt Barnes ,  121 ,  991 , 6 ,  0.0391404958677686 ,  5.0 ,  8.0 ,  1.3868264462809918 ,  1.8558645071913684</t>
  </si>
  <si>
    <t>Luis Scola ,  132 ,  920 , 2 ,  0.36048484848484846 ,  5.0 ,  8.0 ,  1.436469696969697 ,  1.963761146369593</t>
  </si>
  <si>
    <t>Victor Oladipo ,  97 ,  1183 , 3 ,  0.2753814432989691 ,  7.0 ,  10.0 ,  1.7509896907216496 ,  2.368459861026946</t>
  </si>
  <si>
    <t>Kevin Durant ,  64 ,  1189 , 25 ,  0.03784375 ,  23.0 ,  30.0 ,  9.400125 ,  7.362321304070816</t>
  </si>
  <si>
    <t>Al Horford ,  81 ,  1006 , 14 ,  0.2585679012345679 ,  22.0 ,  26.0 ,  9.468024691358025 ,  6.588721361886199</t>
  </si>
  <si>
    <t>Mike Conley ,  85 ,  1047 , 7 ,  0.1428470588235294 ,  10.0 ,  13.0 ,  3.1472470588235293 ,  3.130331791870828</t>
  </si>
  <si>
    <t>Jeff Green ,  113 ,  1418 , 4 ,  0.3891858407079646 ,  9.0 ,  13.0 ,  3.2601592920353983 ,  3.0766115097141684</t>
  </si>
  <si>
    <t>Corey Brewer ,  99 ,  905 , 0 ,  1.0 ,  6.0 ,  8.0 ,  1.6703232323232324 ,  2.1361865618044686</t>
  </si>
  <si>
    <t>Joakim Noah ,  121 ,  972 , 6 ,  0.11920661157024794 ,  7.0 ,  10.0 ,  2.2729256198347105 ,  2.5626285967822384</t>
  </si>
  <si>
    <t>Spencer Hawes ,  126 ,  1040 , 7 ,  0.05433333333333333 ,  7.0 ,  9.0 ,  2.20084126984127 ,  2.305024723252386</t>
  </si>
  <si>
    <t>Thaddeus Young ,  130 ,  1835 , 5 ,  0.5682923076923077 ,  16.0 ,  21.0 ,  6.169446153846154 ,  4.973501660819821</t>
  </si>
  <si>
    <t>Rodney Stuckey ,  96 ,  996 , 1 ,  0.6940833333333334 ,  8.0 ,  11.0 ,  2.531791666666667 ,  2.718959229177693</t>
  </si>
  <si>
    <t>Nick Young ,  58 ,  715 , 3 ,  0.28072413793103446 ,  6.0 ,  9.0 ,  1.8248620689655173 ,  2.236480258462451</t>
  </si>
  <si>
    <t>Marco Belinelli ,  107 ,  816 , 4 ,  0.23388785046728972 ,  7.0 ,  9.0 ,  2.1090467289719625 ,  2.329148179229277</t>
  </si>
  <si>
    <t>Wilson Chandler ,  119 ,  1445 , 3 ,  0.3530252100840336 ,  8.0 ,  11.0 ,  2.2803361344537816 ,  2.6539078314383735</t>
  </si>
  <si>
    <t>Aaron Brooks ,  98 ,  888 , 3 ,  0.15293877551020407 ,  4.0 ,  6.0 ,  1.0067142857142857 ,  1.479359976062456</t>
  </si>
  <si>
    <t>Arron Afflalo ,  115 ,  1393 , 2 ,  0.6930608695652174 ,  11.0 ,  15.0 ,  3.8964695652173913 ,  3.5336166552789834</t>
  </si>
  <si>
    <t>Marc Gasol ,  106 ,  1328 , 6 ,  0.3867924528301887 ,  14.0 ,  18.0 ,  5.0277358490566035 ,  4.585800949160203</t>
  </si>
  <si>
    <t>LeBron James ,  71 ,  1154 , 9 ,  0.5041971830985915 ,  23.0 ,  29.0 ,  9.620591549295774 ,  7.293309199992082</t>
  </si>
  <si>
    <t>Chris Bosh ,  104 ,  1419 , 17 ,  0.061884615384615385 ,  17.0 ,  24.0 ,  6.769615384615385 ,  5.700280007136783</t>
  </si>
  <si>
    <t>Dwyane Wade ,  86 ,  1322 , 19 ,  0.06255813953488372 ,  20.0 ,  26.0 ,  7.976488372093023 ,  6.16718101096099</t>
  </si>
  <si>
    <t>David West ,  124 ,  1324 , 12 ,  0.07517741935483871 ,  13.0 ,  17.0 ,  4.522096774193549 ,  4.2234478489227545</t>
  </si>
  <si>
    <t>Boris Diaw ,  134 ,  983 , 6 ,  0.1889402985074627 ,  9.0 ,  12.009999999994761 ,  2.9434179104477614 ,  3.023076660786598</t>
  </si>
  <si>
    <t>Mo Williams ,  81 ,  783 , 4 ,  0.11071604938271605 ,  5.0 ,  8.0 ,  1.2939753086419754 ,  1.7728538057815955</t>
  </si>
  <si>
    <t>Kyle Korver ,  128 ,  1015 , 5 ,  0.2339375 ,  8.0 ,  11.0 ,  2.79925 ,  2.7078611370415584</t>
  </si>
  <si>
    <t>Jarrett Jack ,  93 ,  767 , 3 ,  0.10451612903225807 ,  4.0 ,  6.0 ,  0.8055268817204301 ,  1.3881710686885964</t>
  </si>
  <si>
    <t>Dwight Howard ,  96 ,  1000 , 27 ,  0.0606875 ,  27.0 ,  34.0 ,  12.386125 ,  8.442170385493789</t>
  </si>
  <si>
    <t>Luol Deng ,  112 ,  1304 , 7 ,  0.1415357142857143 ,  10.0 ,  13.0 ,  3.1023392857142857 ,  3.173760988709867</t>
  </si>
  <si>
    <t>Al Jefferson ,  105 ,  1737 , 13 ,  0.31965714285714286 ,  23.0 ,  30.0 ,  9.668057142857142 ,  7.294167574594</t>
  </si>
  <si>
    <t>Josh Smith ,  128 ,  1741 , 2 ,  0.61175 ,  9.0 ,  12.0 ,  3.123171875 ,  3.0719396257428278</t>
  </si>
  <si>
    <t>J.R. Smith ,  91 ,  949 , 0 ,  1.0 ,  5.0 ,  7.0 ,  1.296989010989011 ,  1.7717675255841008</t>
  </si>
  <si>
    <t>Jameer Nelson ,  95 ,  804 , 1 ,  0.4521263157894737 ,  4.0 ,  7.0 ,  0.9590526315789474 ,  1.4805643118218281</t>
  </si>
  <si>
    <t>Kevin Martin ,  77 ,  1134 , 2 ,  0.5675324675324676 ,  9.0 ,  12.0 ,  2.8814805194805193 ,  3.0110885791418847</t>
  </si>
  <si>
    <t>Ben McLemore ,  124 ,  1096 , 4 ,  0.09756451612903226 ,  5.0 ,  8.0 ,  1.2406612903225807 ,  1.7304861003025336</t>
  </si>
  <si>
    <t>Trevor Ariza ,  126 ,  1327 , 3 ,  0.3726190476190476 ,  8.0 ,  11.0 ,  2.3310476190476193 ,  2.6358266401828296</t>
  </si>
  <si>
    <t>Kentavious Caldwell-Pope ,  125 ,  1078 , 2 ,  0.271856 ,  4.0 ,  7.0 ,  1.058048 ,  1.5869639030853853</t>
  </si>
  <si>
    <t>Michael Carter-Williams ,  103 ,  1419 , 2 ,  0.4827961165048544 ,  7.0 ,  9.0 ,  2.083145631067961 ,  2.3054261464327306</t>
  </si>
  <si>
    <t>Tim Hardaway Jr. ,  114 ,  1024 , 4 ,  0.16066666666666668 ,  6.0 ,  8.0 ,  1.54059649122807 ,  2.0062536428093867</t>
  </si>
  <si>
    <t>Trey Burke ,  97 ,  1192 , 1 ,  0.46290721649484534 ,  4.0 ,  7.0 ,  1.038659793814433 ,  1.538927949832355</t>
  </si>
  <si>
    <t>Giannis Antetokounmpo ,  117 ,  817 , 3 ,  0.17393162393162392 ,  5.0 ,  9.0 ,  1.1582564102564104 ,  2.0313898326521422</t>
  </si>
  <si>
    <t>Channing Frye ,  129 ,  996 , 2 ,  0.34708527131782946 ,  5.0 ,  7.0 ,  1.377922480620155 ,  1.7807487390168568</t>
  </si>
  <si>
    <t>Deron Williams ,  98 ,  1080 , 6 ,  0.06555102040816327 ,  6.0 ,  8.0 ,  1.7172244897959184 ,  2.149227970218999</t>
  </si>
  <si>
    <t>Gerald Green ,  113 ,  1205 , 1 ,  0.6532566371681416 ,  7.0 ,  10.0 ,  2.134920353982301 ,  2.4402542379573693</t>
  </si>
  <si>
    <t>David Lee ,  95 ,  1032 , 12 ,  0.29162105263157895 ,  20.0 ,  25.0 ,  8.600336842105262 ,  6.025519055362566</t>
  </si>
  <si>
    <t>Brandon Bass ,  136 ,  1113 , 5 ,  0.29704411764705885 ,  10.0 ,  14.0 ,  3.3053823529411765 ,  3.4807335899770413</t>
  </si>
  <si>
    <t>CJ Miles ,  91 ,  869 , 7 ,  0.016725274725274724 ,  5.0 ,  7.0 ,  1.1789010989010988 ,  1.7014779939349631</t>
  </si>
  <si>
    <t>Ersan Ilyasova ,  88 ,  876 , 18 ,  0.0 ,  7.0 ,  11.0 ,  2.3262045454545452 ,  2.5648719007490546</t>
  </si>
  <si>
    <t>Monta Ellis ,  109 ,  1642 , 13 ,  0.08433027522935779 ,  14.0 ,  18.0 ,  5.314550458715597 ,  4.670085674883992</t>
  </si>
  <si>
    <t>Lou Williams ,  77 ,  733 , 3 ,  0.0927012987012987 ,  3.0 ,  5.0 ,  0.6684675324675324 ,  1.2310308169670174</t>
  </si>
  <si>
    <t>Amir Johnson ,  132 ,  947 , 13 ,  0.07813636363636364 ,  14.0 ,  19.0 ,  5.339469696969697 ,  4.561945992000586</t>
  </si>
  <si>
    <t>Marcin Gortat ,  137 ,  1344 , 29 ,  0.007664233576642336 ,  22.0 ,  27.0 ,  8.383810218978102 ,  6.795677292352352</t>
  </si>
  <si>
    <t>Jose Calderon ,  105 ,  921 , 2 ,  0.3869714285714286 ,  6.0 ,  9.0 ,  1.6099238095238095 ,  2.0455509431108476</t>
  </si>
  <si>
    <t>O.J. Mayo ,  85 ,  764 , 0 ,  1.0 ,  4.0 ,  7.0 ,  1.0478117647058824 ,  1.5810260740798727</t>
  </si>
  <si>
    <t>Russell Westbrook ,  62 ,  1127 , 4 ,  0.3333225806451613 ,  9.0 ,  12.0 ,  2.8406129032258063 ,  2.97194119441474</t>
  </si>
  <si>
    <t>Kevin Love ,  107 ,  1579 , 9 ,  0.15691588785046728 ,  12.0 ,  17.0 ,  4.562878504672897 ,  3.9723000628070895</t>
  </si>
  <si>
    <t>Eric Gordon ,  105 ,  1223 , 1 ,  0.7024952380952381 ,  8.0 ,  11.0 ,  2.5115809523809522 ,  2.6104404254599034</t>
  </si>
  <si>
    <t>D.J. Augustin ,  107 ,  864 , 1 ,  0.567196261682243 ,  5.0 ,  7.0 ,  1.319588785046729 ,  1.6632344963295964</t>
  </si>
  <si>
    <t>Jerryd Bayless ,  113 ,  799 , 1 ,  0.433858407079646 ,  4.0 ,  6.0 ,  0.934212389380531 ,  1.4758976116927913</t>
  </si>
  <si>
    <t>Robin Lopez ,  122 ,  907 , 4 ,  0.5882295081967213 ,  13.0 ,  18.0 ,  5.17627868852459 ,  4.320833016342982</t>
  </si>
  <si>
    <t>Marreese Speights ,  117 ,  766 , 6 ,  0.07895726495726496 ,  7.0 ,  10.0 ,  1.8175213675213675 ,  2.355365000107513</t>
  </si>
  <si>
    <t>Roy Hibbert ,  142 ,  1272 , 1 ,  0.6991408450704225 ,  8.0 ,  11.0 ,  2.576957746478873 ,  2.7589942617270533</t>
  </si>
  <si>
    <t>JJ Hickson ,  116 ,  912 , 7 ,  0.1965 ,  10.0 ,  14.0 ,  3.7526551724137933 ,  3.2776031799520617</t>
  </si>
  <si>
    <t>Courtney Lee ,  126 ,  968 , 0 ,  1.0 ,  6.0 ,  9.0 ,  1.8606666666666667 ,  2.1565438693236594</t>
  </si>
  <si>
    <t>Serge Ibaka ,  120 ,  1385 , 10 ,  0.47428333333333333 ,  23.0 ,  30.0 ,  9.9618 ,  7.1577562191886175</t>
  </si>
  <si>
    <t>Nicolas Batum ,  140 ,  1266 , 1 ,  0.7121571428571428 ,  8.0 ,  11.0 ,  2.477371428571429 ,  2.594290864689664</t>
  </si>
  <si>
    <t>George Hill ,  88 ,  808 , 2 ,  0.4141590909090909 ,  6.0 ,  10.0 ,  1.7252045454545455 ,  2.1809737616647866</t>
  </si>
  <si>
    <t>Mario Chalmers ,  111 ,  846 , 1 ,  0.5271711711711712 ,  5.0 ,  6.0 ,  1.2284684684684686 ,  1.6182908335582744</t>
  </si>
  <si>
    <t>Goran Dragic ,  110 ,  1448 , 17 ,  0.10956363636363636 ,  19.0 ,  26.0 ,  7.848218181818182 ,  6.372293615020659</t>
  </si>
  <si>
    <t>Anthony Morrow ,  114 ,  818 , 3 ,  0.16257894736842105 ,  5.0 ,  7.0 ,  1.0937719298245614 ,  1.6753307556916788</t>
  </si>
  <si>
    <t>Carmelo Anthony ,  65 ,  1301 , 5 ,  0.4713538461538462 ,  13.0 ,  18.0 ,  5.026461538461539 ,  4.292531055671621</t>
  </si>
  <si>
    <t>Blake Griffin ,  115 ,  1905 , 21 ,  0.29662608695652176 ,  33.0 ,  40.0 ,  14.922765217391305 ,  10.301807355428238</t>
  </si>
  <si>
    <t>James Harden ,  75 ,  1173 , 4 ,  0.39088 ,  11.0 ,  15.0 ,  3.4348533333333333 ,  3.7124505714090734</t>
  </si>
  <si>
    <t>Tyreke Evans ,  79 ,  1004 , 7 ,  0.1798481012658228 ,  11.0 ,  15.0 ,  3.4310379746835444 ,  3.7144301143657676</t>
  </si>
  <si>
    <t>Stephen Curry ,  92 ,  1467 , 7 ,  0.4846304347826087 ,  19.0 ,  25.0 ,  7.473782608695652 ,  6.062020723907899</t>
  </si>
  <si>
    <t>Jordan Hill ,  106 ,  908 , 15 ,  0.016830188679245284 ,  11.0 ,  15.0 ,  4.081830188679246 ,  3.7441126174193573</t>
  </si>
  <si>
    <t>DeMar DeRozan ,  94 ,  1583 , 3 ,  0.4267021276595745 ,  9.0 ,  12.0 ,  2.727723404255319 ,  3.0055929298002098</t>
  </si>
  <si>
    <t>Brandon Jennings ,  77 ,  977 , 2 ,  0.25444155844155847 ,  4.0 ,  7.0 ,  0.9821038961038961 ,  1.5440936448320723</t>
  </si>
  <si>
    <t>Gerald Henderson ,  133 ,  1457 , 5 ,  0.3535187969924812 ,  11.0 ,  14.0 ,  3.8111278195488723 ,  3.5178722324457063</t>
  </si>
  <si>
    <t>Ty Lawson ,  78 ,  927 , 0 ,  1.0 ,  6.0 ,  8.0 ,  1.6625897435897437 ,  2.0073008949760696</t>
  </si>
  <si>
    <t>Jeff Teague ,  107 ,  1301 , 2 ,  0.6491775700934579 ,  10.0 ,  14.0 ,  3.601682242990654 ,  3.4391746689726856</t>
  </si>
  <si>
    <t>Darren Collison ,  80 ,  710 , 4 ,  0.207575 ,  6.0 ,  9.0 ,  1.92795 ,  2.253710007410004</t>
  </si>
  <si>
    <t>Taj Gibson ,  123 ,  1157 , 1 ,  0.8071219512195122 ,  11.0 ,  15.0 ,  3.780357723577236 ,  3.497616080420717</t>
  </si>
  <si>
    <t>DeMarre Carroll ,  114 ,  1004 , 8 ,  0.06405263157894737 ,  8.0 ,  11.0 ,  2.676982456140351 ,  2.735185297877879</t>
  </si>
  <si>
    <t>Jodie Meeks ,  112 ,  1116 , 4 ,  0.3833214285714286 ,  9.0 ,  12.0 ,  3.1560892857142857 ,  2.900137384533864</t>
  </si>
  <si>
    <t>Danny Green ,  111 ,  864 , 3 ,  0.1860900900900901 ,  5.0 ,  7.0 ,  1.2326846846846846 ,  1.7257932500788422</t>
  </si>
  <si>
    <t>Wesley Matthews ,  110 ,  1291 , 2 ,  0.5290363636363636 ,  8.0 ,  11.0 ,  2.4974 ,  2.713172005404208</t>
  </si>
  <si>
    <t>Tim Duncan ,  119 ,  1313 , 17 ,  0.06588235294117648 ,  18.0 ,  23.0 ,  6.961731092436975 ,  5.608282982493156</t>
  </si>
  <si>
    <t>John Wall ,  62 ,  869 , 6 ,  0.13729032258064516 ,  8.0 ,  11.0 ,  2.4504516129032257 ,  2.696149546425596</t>
  </si>
  <si>
    <t>Evan Turner ,  129 ,  1299 , 6 ,  0.1042170542635659 ,  7.0 ,  9.0 ,  2.202124031007752 ,  2.3168473266497096</t>
  </si>
  <si>
    <t>Derrick Favors ,  129 ,  1420 , 1 ,  0.8632868217054264 ,  21.0 ,  26.0 ,  7.884992248062016 ,  6.738459410911225</t>
  </si>
  <si>
    <t>Wesley Johnson ,  113 ,  945 , 0 ,  1.0 ,  5.0 ,  7.0 ,  1.1623716814159293 ,  1.6781806530677206</t>
  </si>
  <si>
    <t>DeMarcus Cousins ,  94 ,  1574 , 12 ,  0.16531914893617022 ,  16.0 ,  23.0 ,  6.229021276595745 ,  5.432081249546528</t>
  </si>
  <si>
    <t>Greg Monroe ,  121 ,  1474 , 6 ,  0.47064462809917357 ,  15.0 ,  20.0 ,  5.9781157024793385 ,  4.996982602241958</t>
  </si>
  <si>
    <t>Gordon Hayward ,  97 ,  1243 , 3 ,  0.31218556701030925 ,  7.0 ,  10.0 ,  1.9877113402061857 ,  2.4572664216952522</t>
  </si>
  <si>
    <t>Paul George ,  37 ,  540 , 4 ,  0.13048648648648647 ,  5.0 ,  8.0 ,  1.3487027027027028 ,  1.9114946587770618</t>
  </si>
  <si>
    <t>Eric Bledsoe ,  84 ,  1015 , 5 ,  0.3463333333333333 ,  11.0 ,  15.0 ,  3.7618809523809524 ,  3.6389741208882387</t>
  </si>
  <si>
    <t>Avery Bradley ,  102 ,  1268 , 6 ,  0.18076470588235294 ,  9.0 ,  13.0 ,  2.90321568627451 ,  3.022323066481364</t>
  </si>
  <si>
    <t>Greivis Vasquez ,  136 ,  1151 , 5 ,  0.10951470588235294 ,  6.0 ,  10.0 ,  1.752764705882353 ,  2.2622005171802955</t>
  </si>
  <si>
    <t>Lance Stephenson ,  117 ,  1156 , 5 ,  0.2477948717948718 ,  8.0 ,  11.0 ,  2.907008547008547 ,  2.840031679418011</t>
  </si>
  <si>
    <t>Timofey Mozgov ,  143 ,  917 , 7 ,  0.1954965034965035 ,  10.0 ,  14.0 ,  3.748979020979021 ,  3.3807945345546457</t>
  </si>
  <si>
    <t>Jeremy Lin ,  97 ,  839 , 6 ,  0.028309278350515464 ,  4.0 ,  7.0 ,  1.1665154639175257 ,  1.6096693719128377</t>
  </si>
  <si>
    <t>Vince Carter ,  113 ,  888 , 0 ,  1.0 ,  3.0 ,  5.0 ,  0.7131327433628318 ,  1.1852967628436004</t>
  </si>
  <si>
    <t>Dirk Nowitzki ,  122 ,  1782 , 9 ,  0.3149672131147541 ,  17.0 ,  22.0 ,  6.358688524590164 ,  5.552473817421115</t>
  </si>
  <si>
    <t>Paul Pierce ,  125 ,  1074 , 16 ,  0.001984 ,  9.0 ,  13.0 ,  3.190416 ,  3.1048835319451196</t>
  </si>
  <si>
    <t>Manu Ginobili ,  73 ,  543 , 0 ,  1.0 ,  4.0 ,  7.0 ,  1.1295068493150684 ,  1.5979337782092624</t>
  </si>
  <si>
    <t>Isaiah Thomas ,  64 ,  757 , 0 ,  1.0 ,  6.0 ,  10.0 ,  1.94121875 ,  2.2335120359309544</t>
  </si>
  <si>
    <t>Kyrie Irving ,  91 ,  1398 , 7 ,  0.27782417582417585 ,  13.0 ,  17.0 ,  4.639010989010989 ,  4.246564883240517</t>
  </si>
  <si>
    <t>Enes Kanter ,  136 ,  1539 , 17 ,  0.06983823529411765 ,  18.0 ,  24.0 ,  6.614235294117647 ,  5.996413904104899</t>
  </si>
  <si>
    <t>Tristan Thompson ,  140 ,  1033 , 14 ,  0.009985714285714285 ,  10.0 ,  13.0 ,  3.7304 ,  3.2442522995071057</t>
  </si>
  <si>
    <t>Jonas Valanciunas ,  141 ,  1140 , 21 ,  0.013120567375886525 ,  16.0 ,  22.0 ,  6.108737588652482 ,  5.087504394053049</t>
  </si>
  <si>
    <t>Brandon Knight ,  98 ,  1404 , 2 ,  0.5991836734693877 ,  9.0 ,  13.0 ,  3.007510204081633 ,  3.0414458036313077</t>
  </si>
  <si>
    <t>Kemba Walker ,  59 ,  844 , 8 ,  0.018406779661016948 ,  5.0 ,  9.0 ,  1.5326440677966102 ,  2.009887118532897</t>
  </si>
  <si>
    <t>Klay Thompson ,  114 ,  1786 , 21 ,  0.045192982456140354 ,  20.0 ,  26.0 ,  7.891964912280701 ,  6.493341690882925</t>
  </si>
  <si>
    <t>Alec Burks ,  65 ,  669 , 0 ,  1.0 ,  6.0 ,  9.0 ,  2.008 ,  2.268078956704584</t>
  </si>
  <si>
    <t>Markieff Morris ,  114 ,  1316 , 13 ,  0.03250877192982456 ,  11.0 ,  16.0 ,  3.580438596491228 ,  3.7743622420150547</t>
  </si>
  <si>
    <t>Marcus Morris ,  120 ,  958 , 2 ,  0.3813666666666667 ,  6.0 ,  8.0 ,  1.6003 ,  2.0762963605099025</t>
  </si>
  <si>
    <t>Kawhi Leonard ,  103 ,  1136 , 9 ,  0.15279611650485436 ,  12.0 ,  16.0 ,  4.254932038834951 ,  4.0385857306882995</t>
  </si>
  <si>
    <t>Nikola Vucevic ,  95 ,  1349 , 9 ,  0.3153684210526316 ,  18.0 ,  23.0 ,  6.521578947368421 ,  5.720288696393138</t>
  </si>
  <si>
    <t>Tobias Harris ,  101 ,  1295 , 4 ,  0.5206534653465347 ,  12.0 ,  16.0 ,  4.5124356435643564 ,  4.006037993363779</t>
  </si>
  <si>
    <t>Kenneth Faried ,  127 ,  1219 , 20 ,  0.035905511811023624 ,  18.0 ,  24.0 ,  7.585259842519685 ,  5.6553081513576755</t>
  </si>
  <si>
    <t>Reggie Jackson ,  97 ,  1093 , 1 ,  0.7617319587628866 ,  9.0 ,  12.0 ,  3.0335876288659795 ,  2.98144877863779</t>
  </si>
  <si>
    <t>Jimmy Butler ,  95 ,  1129 , 5 ,  0.20002105263157896 ,  8.0 ,  11.0 ,  2.4465684210526315 ,  2.704177628285272</t>
  </si>
  <si>
    <t>Chandler Parsons ,  118 ,  1493 , 12 ,  0.1167457627118644 ,  14.0 ,  19.0 ,  5.633237288135593 ,  4.638933654641864</t>
  </si>
  <si>
    <t>Jamal Crawford ,  68 ,  877 , 0 ,  1.0 ,  6.0 ,  8.0 ,  1.6347058823529412 ,  1.9949572239172235</t>
  </si>
  <si>
    <t>Andrew Wiggins ,  64 ,  854 , 3 ,  0.30484375 ,  7.0 ,  10.0 ,  1.9824375 ,  2.420137714799253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</si>
</sst>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color rgb="FF000000"/>
      <name val="Menlo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1" xfId="0" applyAlignment="1" applyFont="1" applyNumberFormat="1">
      <alignment horizontal="center" readingOrder="0"/>
    </xf>
    <xf borderId="1" fillId="0" fontId="3" numFmtId="0" xfId="0" applyAlignment="1" applyBorder="1" applyFont="1">
      <alignment vertical="bottom"/>
    </xf>
    <xf borderId="1" fillId="0" fontId="3" numFmtId="165" xfId="0" applyAlignment="1" applyBorder="1" applyFont="1" applyNumberFormat="1">
      <alignment vertical="bottom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1" numFmtId="10" xfId="0" applyFont="1" applyNumberFormat="1"/>
    <xf borderId="0" fillId="0" fontId="1" numFmtId="11" xfId="0" applyFont="1" applyNumberFormat="1"/>
    <xf borderId="0" fillId="0" fontId="1" numFmtId="1" xfId="0" applyFont="1" applyNumberFormat="1"/>
    <xf borderId="0" fillId="0" fontId="1" numFmtId="164" xfId="0" applyFont="1" applyNumberFormat="1"/>
    <xf borderId="2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center" vertical="bottom"/>
    </xf>
    <xf borderId="2" fillId="0" fontId="5" numFmtId="164" xfId="0" applyAlignment="1" applyBorder="1" applyFont="1" applyNumberFormat="1">
      <alignment horizontal="center" vertical="bottom"/>
    </xf>
    <xf borderId="2" fillId="0" fontId="5" numFmtId="10" xfId="0" applyAlignment="1" applyBorder="1" applyFont="1" applyNumberFormat="1">
      <alignment horizontal="center" vertical="bottom"/>
    </xf>
    <xf borderId="0" fillId="2" fontId="6" numFmtId="0" xfId="0" applyAlignment="1" applyFill="1" applyFont="1">
      <alignment horizontal="left" readingOrder="0" shrinkToFit="0" wrapText="1"/>
    </xf>
    <xf borderId="0" fillId="2" fontId="7" numFmtId="0" xfId="0" applyAlignment="1" applyFont="1">
      <alignment horizontal="left" readingOrder="0" shrinkToFit="0" wrapText="1"/>
    </xf>
    <xf borderId="2" fillId="0" fontId="1" numFmtId="0" xfId="0" applyAlignment="1" applyBorder="1" applyFont="1">
      <alignment horizontal="center" readingOrder="0"/>
    </xf>
    <xf borderId="2" fillId="0" fontId="1" numFmtId="165" xfId="0" applyAlignment="1" applyBorder="1" applyFont="1" applyNumberFormat="1">
      <alignment horizontal="center"/>
    </xf>
    <xf borderId="0" fillId="3" fontId="6" numFmtId="0" xfId="0" applyAlignment="1" applyFill="1" applyFont="1">
      <alignment horizontal="left" readingOrder="0" shrinkToFit="0" wrapText="1"/>
    </xf>
    <xf borderId="0" fillId="3" fontId="1" numFmtId="10" xfId="0" applyFont="1" applyNumberFormat="1"/>
    <xf borderId="0" fillId="3" fontId="1" numFmtId="0" xfId="0" applyFont="1"/>
    <xf borderId="2" fillId="2" fontId="7" numFmtId="0" xfId="0" applyAlignment="1" applyBorder="1" applyFont="1">
      <alignment horizontal="left" readingOrder="0" shrinkToFit="0" wrapText="1"/>
    </xf>
    <xf borderId="2" fillId="2" fontId="6" numFmtId="0" xfId="0" applyAlignment="1" applyBorder="1" applyFont="1">
      <alignment horizontal="left" readingOrder="0" shrinkToFit="0" wrapText="1"/>
    </xf>
    <xf borderId="0" fillId="2" fontId="7" numFmtId="10" xfId="0" applyAlignment="1" applyFont="1" applyNumberFormat="1">
      <alignment horizontal="left" readingOrder="0" shrinkToFit="0" wrapText="1"/>
    </xf>
    <xf borderId="0" fillId="2" fontId="6" numFmtId="10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6" max="6" width="15.0"/>
    <col customWidth="1" min="14" max="14" width="18.13"/>
    <col customWidth="1" min="15" max="15" width="21.88"/>
    <col customWidth="1" min="16" max="16" width="22.0"/>
    <col customWidth="1" min="17" max="17" width="18.5"/>
    <col customWidth="1" min="18" max="18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N1" s="4" t="s">
        <v>0</v>
      </c>
      <c r="O1" s="4" t="s">
        <v>9</v>
      </c>
      <c r="P1" s="4" t="s">
        <v>10</v>
      </c>
      <c r="Q1" s="4" t="s">
        <v>11</v>
      </c>
      <c r="R1" s="5" t="s">
        <v>4</v>
      </c>
      <c r="W1" s="6" t="s">
        <v>0</v>
      </c>
      <c r="X1" s="6" t="s">
        <v>12</v>
      </c>
      <c r="Y1" s="7" t="s">
        <v>13</v>
      </c>
    </row>
    <row r="2">
      <c r="A2" s="1" t="s">
        <v>14</v>
      </c>
      <c r="B2" s="1">
        <v>124.0</v>
      </c>
      <c r="C2" s="1">
        <v>1096.0</v>
      </c>
      <c r="D2" s="1">
        <v>194.0</v>
      </c>
      <c r="E2" s="8">
        <v>0.00112903225806451</v>
      </c>
      <c r="F2" s="2">
        <v>162.0</v>
      </c>
      <c r="G2" s="2">
        <v>178.0</v>
      </c>
      <c r="H2" s="3">
        <v>79.3385161290322</v>
      </c>
      <c r="I2" s="3">
        <v>49.7526483690427</v>
      </c>
      <c r="N2" s="1" t="s">
        <v>14</v>
      </c>
      <c r="O2" s="1">
        <v>124.0</v>
      </c>
      <c r="P2" s="1">
        <v>194.0</v>
      </c>
      <c r="Q2" s="3">
        <v>79.3385161290322</v>
      </c>
      <c r="R2" s="8">
        <v>0.00112903225806451</v>
      </c>
      <c r="T2" s="9" t="str">
        <f t="shared" ref="T2:T44" si="1">vlookup(N2,V$2:X$25,2,0)</f>
        <v>Ben McLemore </v>
      </c>
      <c r="U2" s="1">
        <v>1.0</v>
      </c>
      <c r="V2" s="9" t="str">
        <f t="shared" ref="V2:V44" si="2">trim(W2)</f>
        <v>Ben McLemore</v>
      </c>
      <c r="W2" s="10" t="s">
        <v>15</v>
      </c>
      <c r="X2" s="11">
        <v>418.0</v>
      </c>
      <c r="Y2" s="12">
        <v>0.034305109</v>
      </c>
    </row>
    <row r="3">
      <c r="A3" s="1" t="s">
        <v>16</v>
      </c>
      <c r="B3" s="1">
        <v>117.0</v>
      </c>
      <c r="C3" s="1">
        <v>766.0</v>
      </c>
      <c r="D3" s="1">
        <v>167.0</v>
      </c>
      <c r="E3" s="8">
        <v>0.003008547008547</v>
      </c>
      <c r="F3" s="2">
        <v>146.0</v>
      </c>
      <c r="G3" s="2">
        <v>160.0</v>
      </c>
      <c r="H3" s="3">
        <v>67.5270769230769</v>
      </c>
      <c r="I3" s="3">
        <v>46.3590111673327</v>
      </c>
      <c r="N3" s="1" t="s">
        <v>16</v>
      </c>
      <c r="O3" s="1">
        <v>117.0</v>
      </c>
      <c r="P3" s="1">
        <v>167.0</v>
      </c>
      <c r="Q3" s="3">
        <v>67.5270769230769</v>
      </c>
      <c r="R3" s="8">
        <v>0.003008547008547</v>
      </c>
      <c r="T3" s="9" t="str">
        <f t="shared" si="1"/>
        <v>#N/A</v>
      </c>
      <c r="V3" s="9" t="str">
        <f t="shared" si="2"/>
        <v>Robin Lopez</v>
      </c>
      <c r="W3" s="10" t="s">
        <v>17</v>
      </c>
      <c r="X3" s="11">
        <v>438.0</v>
      </c>
      <c r="Y3" s="12">
        <v>0.030289333</v>
      </c>
    </row>
    <row r="4">
      <c r="A4" s="1" t="s">
        <v>18</v>
      </c>
      <c r="B4" s="1">
        <v>97.0</v>
      </c>
      <c r="C4" s="1">
        <v>839.0</v>
      </c>
      <c r="D4" s="1">
        <v>148.0</v>
      </c>
      <c r="E4" s="8">
        <v>0.00420618556701031</v>
      </c>
      <c r="F4" s="2">
        <v>129.0</v>
      </c>
      <c r="G4" s="2">
        <v>143.0</v>
      </c>
      <c r="H4" s="3">
        <v>70.2484329896907</v>
      </c>
      <c r="I4" s="3">
        <v>38.7126121942875</v>
      </c>
      <c r="N4" s="1" t="s">
        <v>18</v>
      </c>
      <c r="O4" s="1">
        <v>97.0</v>
      </c>
      <c r="P4" s="1">
        <v>148.0</v>
      </c>
      <c r="Q4" s="3">
        <v>70.2484329896907</v>
      </c>
      <c r="R4" s="8">
        <v>0.00420618556701031</v>
      </c>
      <c r="T4" s="9" t="str">
        <f t="shared" si="1"/>
        <v>Jeremy Lin </v>
      </c>
      <c r="V4" s="9" t="str">
        <f t="shared" si="2"/>
        <v>CJ Miles</v>
      </c>
      <c r="W4" s="10" t="s">
        <v>19</v>
      </c>
      <c r="X4" s="11">
        <v>343.0</v>
      </c>
      <c r="Y4" s="12">
        <v>0.028534082</v>
      </c>
    </row>
    <row r="5">
      <c r="A5" s="1" t="s">
        <v>20</v>
      </c>
      <c r="B5" s="1">
        <v>114.0</v>
      </c>
      <c r="C5" s="1">
        <v>1004.0</v>
      </c>
      <c r="D5" s="1">
        <v>219.0</v>
      </c>
      <c r="E5" s="8">
        <v>0.00450877192982456</v>
      </c>
      <c r="F5" s="2">
        <v>195.0</v>
      </c>
      <c r="G5" s="2">
        <v>213.0</v>
      </c>
      <c r="H5" s="3">
        <v>101.900701754385</v>
      </c>
      <c r="I5" s="3">
        <v>58.1385824684207</v>
      </c>
      <c r="N5" s="1" t="s">
        <v>20</v>
      </c>
      <c r="O5" s="1">
        <v>114.0</v>
      </c>
      <c r="P5" s="1">
        <v>219.0</v>
      </c>
      <c r="Q5" s="3">
        <v>101.900701754385</v>
      </c>
      <c r="R5" s="8">
        <v>0.00450877192982456</v>
      </c>
      <c r="T5" s="9" t="str">
        <f t="shared" si="1"/>
        <v>DeMarre Carroll </v>
      </c>
      <c r="U5" s="1">
        <v>1.0</v>
      </c>
      <c r="V5" s="9" t="str">
        <f t="shared" si="2"/>
        <v>Kemba Walker</v>
      </c>
      <c r="W5" s="10" t="s">
        <v>21</v>
      </c>
      <c r="X5" s="11">
        <v>333.0</v>
      </c>
      <c r="Y5" s="12">
        <v>0.027144591</v>
      </c>
    </row>
    <row r="6">
      <c r="A6" s="1" t="s">
        <v>22</v>
      </c>
      <c r="B6" s="1">
        <v>140.0</v>
      </c>
      <c r="C6" s="1">
        <v>1033.0</v>
      </c>
      <c r="D6" s="1">
        <v>252.0</v>
      </c>
      <c r="E6" s="8">
        <v>0.00495714285714285</v>
      </c>
      <c r="F6" s="2">
        <v>229.0</v>
      </c>
      <c r="G6" s="2">
        <v>246.0</v>
      </c>
      <c r="H6" s="3">
        <v>127.028542857142</v>
      </c>
      <c r="I6" s="3">
        <v>68.7528616517545</v>
      </c>
      <c r="N6" s="1" t="s">
        <v>22</v>
      </c>
      <c r="O6" s="1">
        <v>140.0</v>
      </c>
      <c r="P6" s="1">
        <v>252.0</v>
      </c>
      <c r="Q6" s="3">
        <v>127.028542857142</v>
      </c>
      <c r="R6" s="8">
        <v>0.00495714285714285</v>
      </c>
      <c r="T6" s="9" t="str">
        <f t="shared" si="1"/>
        <v>Tristan Thompson </v>
      </c>
      <c r="V6" s="9" t="str">
        <f t="shared" si="2"/>
        <v>Rudy Gay</v>
      </c>
      <c r="W6" s="10" t="s">
        <v>23</v>
      </c>
      <c r="X6" s="11">
        <v>677.0</v>
      </c>
      <c r="Y6" s="12">
        <v>0.02283469</v>
      </c>
    </row>
    <row r="7">
      <c r="A7" s="1" t="s">
        <v>24</v>
      </c>
      <c r="B7" s="1">
        <v>114.0</v>
      </c>
      <c r="C7" s="1">
        <v>1316.0</v>
      </c>
      <c r="D7" s="1">
        <v>280.0</v>
      </c>
      <c r="E7" s="8">
        <v>0.00510526315789473</v>
      </c>
      <c r="F7" s="2">
        <v>253.0</v>
      </c>
      <c r="G7" s="2">
        <v>274.0</v>
      </c>
      <c r="H7" s="3">
        <v>122.907070175438</v>
      </c>
      <c r="I7" s="3">
        <v>77.9081585654882</v>
      </c>
      <c r="N7" s="1" t="s">
        <v>24</v>
      </c>
      <c r="O7" s="1">
        <v>114.0</v>
      </c>
      <c r="P7" s="1">
        <v>280.0</v>
      </c>
      <c r="Q7" s="3">
        <v>122.907070175438</v>
      </c>
      <c r="R7" s="8">
        <v>0.00510526315789473</v>
      </c>
      <c r="T7" s="9" t="str">
        <f t="shared" si="1"/>
        <v>Markieff Morris </v>
      </c>
      <c r="V7" s="9" t="str">
        <f t="shared" si="2"/>
        <v>Tristan Thompson</v>
      </c>
      <c r="W7" s="10" t="s">
        <v>25</v>
      </c>
      <c r="X7" s="11">
        <v>458.0</v>
      </c>
      <c r="Y7" s="12">
        <v>0.022575973</v>
      </c>
    </row>
    <row r="8">
      <c r="A8" s="1" t="s">
        <v>26</v>
      </c>
      <c r="B8" s="1">
        <v>98.0</v>
      </c>
      <c r="C8" s="1">
        <v>888.0</v>
      </c>
      <c r="D8" s="1">
        <v>149.0</v>
      </c>
      <c r="E8" s="8">
        <v>0.00632653061224489</v>
      </c>
      <c r="F8" s="2">
        <v>129.0</v>
      </c>
      <c r="G8" s="2">
        <v>145.0</v>
      </c>
      <c r="H8" s="3">
        <v>66.7391428571428</v>
      </c>
      <c r="I8" s="3">
        <v>38.5335951288096</v>
      </c>
      <c r="N8" s="1" t="s">
        <v>26</v>
      </c>
      <c r="O8" s="1">
        <v>98.0</v>
      </c>
      <c r="P8" s="1">
        <v>149.0</v>
      </c>
      <c r="Q8" s="3">
        <v>66.7391428571428</v>
      </c>
      <c r="R8" s="8">
        <v>0.00632653061224489</v>
      </c>
      <c r="T8" s="9" t="str">
        <f t="shared" si="1"/>
        <v>#N/A</v>
      </c>
      <c r="V8" s="9" t="str">
        <f t="shared" si="2"/>
        <v>Mike Conley</v>
      </c>
      <c r="W8" s="10" t="s">
        <v>27</v>
      </c>
      <c r="X8" s="11">
        <v>449.0</v>
      </c>
      <c r="Y8" s="12">
        <v>0.022444231</v>
      </c>
    </row>
    <row r="9">
      <c r="A9" s="1" t="s">
        <v>28</v>
      </c>
      <c r="B9" s="1">
        <v>80.0</v>
      </c>
      <c r="C9" s="1">
        <v>710.0</v>
      </c>
      <c r="D9" s="1">
        <v>149.0</v>
      </c>
      <c r="E9" s="8">
        <v>0.00645</v>
      </c>
      <c r="F9" s="2">
        <v>131.0</v>
      </c>
      <c r="G9" s="2">
        <v>146.0</v>
      </c>
      <c r="H9" s="3">
        <v>67.043225</v>
      </c>
      <c r="I9" s="3">
        <v>39.1806560256381</v>
      </c>
      <c r="N9" s="1" t="s">
        <v>28</v>
      </c>
      <c r="O9" s="1">
        <v>80.0</v>
      </c>
      <c r="P9" s="1">
        <v>149.0</v>
      </c>
      <c r="Q9" s="3">
        <v>67.043225</v>
      </c>
      <c r="R9" s="8">
        <v>0.00645</v>
      </c>
      <c r="T9" s="9" t="str">
        <f t="shared" si="1"/>
        <v>#N/A</v>
      </c>
      <c r="V9" s="9" t="str">
        <f t="shared" si="2"/>
        <v>JJ Hickson</v>
      </c>
      <c r="W9" s="10" t="s">
        <v>29</v>
      </c>
      <c r="X9" s="11">
        <v>402.0</v>
      </c>
      <c r="Y9" s="12">
        <v>0.01904747</v>
      </c>
    </row>
    <row r="10">
      <c r="A10" s="1" t="s">
        <v>30</v>
      </c>
      <c r="B10" s="1">
        <v>100.0</v>
      </c>
      <c r="C10" s="1">
        <v>1547.0</v>
      </c>
      <c r="D10" s="1">
        <v>331.0</v>
      </c>
      <c r="E10" s="8">
        <v>0.0076</v>
      </c>
      <c r="F10" s="2">
        <v>304.0</v>
      </c>
      <c r="G10" s="2">
        <v>327.0</v>
      </c>
      <c r="H10" s="3">
        <v>164.23042</v>
      </c>
      <c r="I10" s="3">
        <v>94.1184755859528</v>
      </c>
      <c r="N10" s="1" t="s">
        <v>30</v>
      </c>
      <c r="O10" s="1">
        <v>100.0</v>
      </c>
      <c r="P10" s="1">
        <v>331.0</v>
      </c>
      <c r="Q10" s="3">
        <v>164.23042</v>
      </c>
      <c r="R10" s="8">
        <v>0.0076</v>
      </c>
      <c r="T10" s="9" t="str">
        <f t="shared" si="1"/>
        <v>Rudy Gay </v>
      </c>
      <c r="V10" s="9" t="str">
        <f t="shared" si="2"/>
        <v>Jordan Hill</v>
      </c>
      <c r="W10" s="10" t="s">
        <v>31</v>
      </c>
      <c r="X10" s="11">
        <v>418.0</v>
      </c>
      <c r="Y10" s="12">
        <v>0.01893095</v>
      </c>
    </row>
    <row r="11">
      <c r="A11" s="1" t="s">
        <v>32</v>
      </c>
      <c r="B11" s="1">
        <v>114.0</v>
      </c>
      <c r="C11" s="1">
        <v>1024.0</v>
      </c>
      <c r="D11" s="1">
        <v>171.0</v>
      </c>
      <c r="E11" s="8">
        <v>0.00787719298245614</v>
      </c>
      <c r="F11" s="2">
        <v>156.0</v>
      </c>
      <c r="G11" s="2">
        <v>169.0</v>
      </c>
      <c r="H11" s="3">
        <v>78.4998596491228</v>
      </c>
      <c r="I11" s="3">
        <v>49.4023243289534</v>
      </c>
      <c r="N11" s="1" t="s">
        <v>32</v>
      </c>
      <c r="O11" s="1">
        <v>114.0</v>
      </c>
      <c r="P11" s="1">
        <v>171.0</v>
      </c>
      <c r="Q11" s="3">
        <v>78.4998596491228</v>
      </c>
      <c r="R11" s="8">
        <v>0.00787719298245614</v>
      </c>
      <c r="T11" s="9" t="str">
        <f t="shared" si="1"/>
        <v>#N/A</v>
      </c>
      <c r="V11" s="9" t="str">
        <f t="shared" si="2"/>
        <v>Markieff Morris</v>
      </c>
      <c r="W11" s="10" t="s">
        <v>33</v>
      </c>
      <c r="X11" s="11">
        <v>566.0</v>
      </c>
      <c r="Y11" s="12">
        <v>0.016779134</v>
      </c>
    </row>
    <row r="12">
      <c r="A12" s="1" t="s">
        <v>34</v>
      </c>
      <c r="B12" s="1">
        <v>113.0</v>
      </c>
      <c r="C12" s="1">
        <v>799.0</v>
      </c>
      <c r="D12" s="1">
        <v>133.0</v>
      </c>
      <c r="E12" s="8">
        <v>0.00907964601769911</v>
      </c>
      <c r="F12" s="2">
        <v>119.0</v>
      </c>
      <c r="G12" s="2">
        <v>132.0</v>
      </c>
      <c r="H12" s="3">
        <v>64.7534513274336</v>
      </c>
      <c r="I12" s="3">
        <v>35.6511191044274</v>
      </c>
      <c r="N12" s="1" t="s">
        <v>34</v>
      </c>
      <c r="O12" s="1">
        <v>113.0</v>
      </c>
      <c r="P12" s="1">
        <v>133.0</v>
      </c>
      <c r="Q12" s="3">
        <v>64.7534513274336</v>
      </c>
      <c r="R12" s="8">
        <v>0.00907964601769911</v>
      </c>
      <c r="T12" s="9" t="str">
        <f t="shared" si="1"/>
        <v>#N/A</v>
      </c>
      <c r="V12" s="9" t="str">
        <f t="shared" si="2"/>
        <v>Marcus Morris</v>
      </c>
      <c r="W12" s="10" t="s">
        <v>35</v>
      </c>
      <c r="X12" s="11">
        <v>393.0</v>
      </c>
      <c r="Y12" s="12">
        <v>0.015016942</v>
      </c>
    </row>
    <row r="13">
      <c r="A13" s="1" t="s">
        <v>36</v>
      </c>
      <c r="B13" s="1">
        <v>122.0</v>
      </c>
      <c r="C13" s="1">
        <v>907.0</v>
      </c>
      <c r="D13" s="1">
        <v>251.0</v>
      </c>
      <c r="E13" s="8">
        <v>0.0090983606557377</v>
      </c>
      <c r="F13" s="2">
        <v>230.0</v>
      </c>
      <c r="G13" s="2">
        <v>250.0</v>
      </c>
      <c r="H13" s="3">
        <v>124.035409836065</v>
      </c>
      <c r="I13" s="3">
        <v>70.3209934741588</v>
      </c>
      <c r="N13" s="1" t="s">
        <v>36</v>
      </c>
      <c r="O13" s="1">
        <v>122.0</v>
      </c>
      <c r="P13" s="1">
        <v>251.0</v>
      </c>
      <c r="Q13" s="3">
        <v>124.035409836065</v>
      </c>
      <c r="R13" s="8">
        <v>0.0090983606557377</v>
      </c>
      <c r="T13" s="9" t="str">
        <f t="shared" si="1"/>
        <v>Robin Lopez </v>
      </c>
      <c r="V13" s="9" t="str">
        <f t="shared" si="2"/>
        <v>Boris Diaw</v>
      </c>
      <c r="W13" s="10" t="s">
        <v>37</v>
      </c>
      <c r="X13" s="11">
        <v>419.0</v>
      </c>
      <c r="Y13" s="12">
        <v>0.014474847</v>
      </c>
    </row>
    <row r="14">
      <c r="A14" s="1" t="s">
        <v>38</v>
      </c>
      <c r="B14" s="1">
        <v>91.0</v>
      </c>
      <c r="C14" s="1">
        <v>869.0</v>
      </c>
      <c r="D14" s="1">
        <v>151.0</v>
      </c>
      <c r="E14" s="8">
        <v>0.00953846153846153</v>
      </c>
      <c r="F14" s="2">
        <v>136.0</v>
      </c>
      <c r="G14" s="2">
        <v>150.0</v>
      </c>
      <c r="H14" s="3">
        <v>66.2191428571428</v>
      </c>
      <c r="I14" s="3">
        <v>41.3615423455094</v>
      </c>
      <c r="N14" s="1" t="s">
        <v>38</v>
      </c>
      <c r="O14" s="1">
        <v>91.0</v>
      </c>
      <c r="P14" s="1">
        <v>151.0</v>
      </c>
      <c r="Q14" s="3">
        <v>66.2191428571428</v>
      </c>
      <c r="R14" s="8">
        <v>0.00953846153846153</v>
      </c>
      <c r="T14" s="9" t="str">
        <f t="shared" si="1"/>
        <v>CJ Miles </v>
      </c>
      <c r="U14" s="1">
        <v>1.0</v>
      </c>
      <c r="V14" s="9" t="str">
        <f t="shared" si="2"/>
        <v>Kyle Korver</v>
      </c>
      <c r="W14" s="10" t="s">
        <v>39</v>
      </c>
      <c r="X14" s="11">
        <v>432.0</v>
      </c>
      <c r="Y14" s="12">
        <v>0.012303555</v>
      </c>
    </row>
    <row r="15">
      <c r="A15" s="1" t="s">
        <v>40</v>
      </c>
      <c r="B15" s="1">
        <v>62.0</v>
      </c>
      <c r="C15" s="1">
        <v>869.0</v>
      </c>
      <c r="D15" s="1">
        <v>173.0</v>
      </c>
      <c r="E15" s="8">
        <v>0.0100645161290322</v>
      </c>
      <c r="F15" s="2">
        <v>156.0</v>
      </c>
      <c r="G15" s="2">
        <v>173.0</v>
      </c>
      <c r="H15" s="3">
        <v>79.5855806451612</v>
      </c>
      <c r="I15" s="3">
        <v>47.5111297502671</v>
      </c>
      <c r="Q15" s="13"/>
      <c r="R15" s="14"/>
      <c r="T15" s="9" t="str">
        <f t="shared" si="1"/>
        <v>#N/A</v>
      </c>
      <c r="V15" s="9" t="str">
        <f t="shared" si="2"/>
        <v>DeMarre Carroll</v>
      </c>
      <c r="W15" s="10" t="s">
        <v>41</v>
      </c>
      <c r="X15" s="11">
        <v>441.0</v>
      </c>
      <c r="Y15" s="12">
        <v>0.011276191</v>
      </c>
    </row>
    <row r="16">
      <c r="A16" s="1" t="s">
        <v>42</v>
      </c>
      <c r="B16" s="1">
        <v>134.0</v>
      </c>
      <c r="C16" s="1">
        <v>983.0</v>
      </c>
      <c r="D16" s="1">
        <v>212.0</v>
      </c>
      <c r="E16" s="8">
        <v>0.0112388059701492</v>
      </c>
      <c r="F16" s="2">
        <v>196.0</v>
      </c>
      <c r="G16" s="2">
        <v>213.0</v>
      </c>
      <c r="H16" s="3">
        <v>101.162283582089</v>
      </c>
      <c r="I16" s="3">
        <v>59.3323083428642</v>
      </c>
      <c r="Q16" s="13"/>
      <c r="R16" s="14"/>
      <c r="T16" s="9" t="str">
        <f t="shared" si="1"/>
        <v>#N/A</v>
      </c>
      <c r="V16" s="9" t="str">
        <f t="shared" si="2"/>
        <v>Tim Duncan</v>
      </c>
      <c r="W16" s="10" t="s">
        <v>43</v>
      </c>
      <c r="X16" s="11">
        <v>603.0</v>
      </c>
      <c r="Y16" s="12">
        <v>0.010690032</v>
      </c>
    </row>
    <row r="17">
      <c r="A17" s="1" t="s">
        <v>44</v>
      </c>
      <c r="B17" s="1">
        <v>116.0</v>
      </c>
      <c r="C17" s="1">
        <v>912.0</v>
      </c>
      <c r="D17" s="1">
        <v>212.0</v>
      </c>
      <c r="E17" s="8">
        <v>0.0112758620689655</v>
      </c>
      <c r="F17" s="2">
        <v>197.0</v>
      </c>
      <c r="G17" s="2">
        <v>212.0</v>
      </c>
      <c r="H17" s="3">
        <v>114.046724137931</v>
      </c>
      <c r="I17" s="3">
        <v>58.9736129447016</v>
      </c>
      <c r="Q17" s="13"/>
      <c r="R17" s="14"/>
      <c r="T17" s="9" t="str">
        <f t="shared" si="1"/>
        <v>#N/A</v>
      </c>
      <c r="V17" s="9" t="str">
        <f t="shared" si="2"/>
        <v>Danny Green</v>
      </c>
      <c r="W17" s="10" t="s">
        <v>45</v>
      </c>
      <c r="X17" s="11">
        <v>331.0</v>
      </c>
      <c r="Y17" s="12">
        <v>0.010598841</v>
      </c>
    </row>
    <row r="18">
      <c r="A18" s="1" t="s">
        <v>46</v>
      </c>
      <c r="B18" s="1">
        <v>143.0</v>
      </c>
      <c r="C18" s="1">
        <v>917.0</v>
      </c>
      <c r="D18" s="1">
        <v>240.0</v>
      </c>
      <c r="E18" s="8">
        <v>0.01206993006993</v>
      </c>
      <c r="F18" s="2">
        <v>222.0</v>
      </c>
      <c r="G18" s="2">
        <v>241.0</v>
      </c>
      <c r="H18" s="3">
        <v>114.293944055944</v>
      </c>
      <c r="I18" s="3">
        <v>66.6940627229019</v>
      </c>
      <c r="Q18" s="13"/>
      <c r="R18" s="14"/>
      <c r="T18" s="9" t="str">
        <f t="shared" si="1"/>
        <v>#N/A</v>
      </c>
      <c r="V18" s="9" t="str">
        <f t="shared" si="2"/>
        <v>Jeremy Lin</v>
      </c>
      <c r="W18" s="10" t="s">
        <v>47</v>
      </c>
      <c r="X18" s="11">
        <v>328.0</v>
      </c>
      <c r="Y18" s="12">
        <v>0.009886512</v>
      </c>
    </row>
    <row r="19">
      <c r="A19" s="1" t="s">
        <v>48</v>
      </c>
      <c r="B19" s="1">
        <v>85.0</v>
      </c>
      <c r="C19" s="1">
        <v>1047.0</v>
      </c>
      <c r="D19" s="1">
        <v>214.0</v>
      </c>
      <c r="E19" s="8">
        <v>0.0127764705882352</v>
      </c>
      <c r="F19" s="2">
        <v>198.0</v>
      </c>
      <c r="G19" s="2">
        <v>216.0</v>
      </c>
      <c r="H19" s="3">
        <v>106.434211764705</v>
      </c>
      <c r="I19" s="3">
        <v>60.002242518111</v>
      </c>
      <c r="Q19" s="13"/>
      <c r="R19" s="14"/>
      <c r="T19" s="9" t="str">
        <f t="shared" si="1"/>
        <v>#N/A</v>
      </c>
      <c r="U19" s="1">
        <v>1.0</v>
      </c>
      <c r="V19" s="9" t="str">
        <f t="shared" si="2"/>
        <v>Kenneth Faried</v>
      </c>
      <c r="W19" s="10" t="s">
        <v>49</v>
      </c>
      <c r="X19" s="11">
        <v>572.0</v>
      </c>
      <c r="Y19" s="12">
        <v>0.009874222</v>
      </c>
    </row>
    <row r="20">
      <c r="A20" s="1" t="s">
        <v>50</v>
      </c>
      <c r="B20" s="1">
        <v>106.0</v>
      </c>
      <c r="C20" s="1">
        <v>908.0</v>
      </c>
      <c r="D20" s="1">
        <v>221.0</v>
      </c>
      <c r="E20" s="8">
        <v>0.0130188679245283</v>
      </c>
      <c r="F20" s="2">
        <v>203.0</v>
      </c>
      <c r="G20" s="2">
        <v>223.0</v>
      </c>
      <c r="H20" s="3">
        <v>100.569075471698</v>
      </c>
      <c r="I20" s="3">
        <v>61.295395363193</v>
      </c>
      <c r="Q20" s="13"/>
      <c r="R20" s="14"/>
      <c r="T20" s="9" t="str">
        <f t="shared" si="1"/>
        <v>#N/A</v>
      </c>
      <c r="U20" s="1">
        <v>1.0</v>
      </c>
      <c r="V20" s="9" t="str">
        <f t="shared" si="2"/>
        <v>Dwyane Wade</v>
      </c>
      <c r="W20" s="10" t="s">
        <v>51</v>
      </c>
      <c r="X20" s="11">
        <v>634.0</v>
      </c>
      <c r="Y20" s="12">
        <v>0.007027906</v>
      </c>
    </row>
    <row r="21">
      <c r="A21" s="1" t="s">
        <v>52</v>
      </c>
      <c r="B21" s="1">
        <v>98.0</v>
      </c>
      <c r="C21" s="1">
        <v>1080.0</v>
      </c>
      <c r="D21" s="1">
        <v>185.0</v>
      </c>
      <c r="E21" s="8">
        <v>0.0131224489795918</v>
      </c>
      <c r="F21" s="2">
        <v>168.0</v>
      </c>
      <c r="G21" s="2">
        <v>187.0</v>
      </c>
      <c r="H21" s="3">
        <v>87.0463469387755</v>
      </c>
      <c r="I21" s="3">
        <v>50.7765564871817</v>
      </c>
      <c r="Q21" s="13"/>
      <c r="R21" s="14"/>
      <c r="T21" s="9" t="str">
        <f t="shared" si="1"/>
        <v>#N/A</v>
      </c>
      <c r="U21" s="1">
        <v>1.0</v>
      </c>
      <c r="V21" s="9" t="str">
        <f t="shared" si="2"/>
        <v>Tyreke Evans</v>
      </c>
      <c r="W21" s="10" t="s">
        <v>53</v>
      </c>
      <c r="X21" s="11">
        <v>440.0</v>
      </c>
      <c r="Y21" s="12">
        <v>0.006947936</v>
      </c>
    </row>
    <row r="22">
      <c r="A22" s="1" t="s">
        <v>54</v>
      </c>
      <c r="B22" s="1">
        <v>127.0</v>
      </c>
      <c r="C22" s="1">
        <v>1219.0</v>
      </c>
      <c r="D22" s="1">
        <v>315.0</v>
      </c>
      <c r="E22" s="8">
        <v>0.0148976377952755</v>
      </c>
      <c r="F22" s="2">
        <v>295.0</v>
      </c>
      <c r="G22" s="2">
        <v>319.0</v>
      </c>
      <c r="H22" s="3">
        <v>158.07053543307</v>
      </c>
      <c r="I22" s="3">
        <v>86.6531288603482</v>
      </c>
      <c r="Q22" s="13"/>
      <c r="R22" s="14"/>
      <c r="T22" s="9" t="str">
        <f t="shared" si="1"/>
        <v>#N/A</v>
      </c>
      <c r="V22" s="9" t="str">
        <f t="shared" si="2"/>
        <v>Jodie Meeks</v>
      </c>
      <c r="W22" s="10" t="s">
        <v>55</v>
      </c>
      <c r="X22" s="11">
        <v>447.0</v>
      </c>
      <c r="Y22" s="12">
        <v>0.006832039</v>
      </c>
    </row>
    <row r="23">
      <c r="A23" s="1" t="s">
        <v>56</v>
      </c>
      <c r="B23" s="1">
        <v>120.0</v>
      </c>
      <c r="C23" s="1">
        <v>958.0</v>
      </c>
      <c r="D23" s="1">
        <v>182.0</v>
      </c>
      <c r="E23" s="8">
        <v>0.0152833333333333</v>
      </c>
      <c r="F23" s="2">
        <v>168.0</v>
      </c>
      <c r="G23" s="2">
        <v>185.0</v>
      </c>
      <c r="H23" s="3">
        <v>81.9715666666666</v>
      </c>
      <c r="I23" s="3">
        <v>52.57556109904</v>
      </c>
      <c r="Q23" s="13"/>
      <c r="R23" s="14"/>
      <c r="T23" s="9" t="str">
        <f t="shared" si="1"/>
        <v>#N/A</v>
      </c>
      <c r="V23" s="9" t="str">
        <f t="shared" si="2"/>
        <v>Al Horford</v>
      </c>
      <c r="W23" s="10" t="s">
        <v>57</v>
      </c>
      <c r="X23" s="11">
        <v>502.0</v>
      </c>
      <c r="Y23" s="12">
        <v>0.00678273</v>
      </c>
    </row>
    <row r="24">
      <c r="A24" s="1" t="s">
        <v>58</v>
      </c>
      <c r="B24" s="1">
        <v>97.0</v>
      </c>
      <c r="C24" s="1">
        <v>1093.0</v>
      </c>
      <c r="D24" s="1">
        <v>205.0</v>
      </c>
      <c r="E24" s="8">
        <v>0.0160824742268041</v>
      </c>
      <c r="F24" s="2">
        <v>192.0</v>
      </c>
      <c r="G24" s="2">
        <v>208.0</v>
      </c>
      <c r="H24" s="3">
        <v>102.495278350515</v>
      </c>
      <c r="I24" s="3">
        <v>58.1524434459718</v>
      </c>
      <c r="Q24" s="13"/>
      <c r="R24" s="14"/>
      <c r="T24" s="9" t="str">
        <f t="shared" si="1"/>
        <v>#N/A</v>
      </c>
      <c r="U24" s="1">
        <v>1.0</v>
      </c>
      <c r="V24" s="9" t="str">
        <f t="shared" si="2"/>
        <v>David West</v>
      </c>
      <c r="W24" s="10" t="s">
        <v>59</v>
      </c>
      <c r="X24" s="11">
        <v>592.0</v>
      </c>
      <c r="Y24" s="12">
        <v>0.005183313</v>
      </c>
    </row>
    <row r="25">
      <c r="A25" s="1" t="s">
        <v>60</v>
      </c>
      <c r="B25" s="1">
        <v>86.0</v>
      </c>
      <c r="C25" s="1">
        <v>1322.0</v>
      </c>
      <c r="D25" s="1">
        <v>322.0</v>
      </c>
      <c r="E25" s="8">
        <v>0.0162093023255813</v>
      </c>
      <c r="F25" s="2">
        <v>304.0</v>
      </c>
      <c r="G25" s="2">
        <v>327.0</v>
      </c>
      <c r="H25" s="3">
        <v>159.191790697674</v>
      </c>
      <c r="I25" s="3">
        <v>91.3244473371975</v>
      </c>
      <c r="Q25" s="13"/>
      <c r="R25" s="14"/>
      <c r="T25" s="9" t="str">
        <f t="shared" si="1"/>
        <v>#N/A</v>
      </c>
      <c r="V25" s="9" t="str">
        <f t="shared" si="2"/>
        <v>Monta Ellis</v>
      </c>
      <c r="W25" s="10" t="s">
        <v>61</v>
      </c>
      <c r="X25" s="11">
        <v>699.0</v>
      </c>
      <c r="Y25" s="12">
        <v>0.004859484</v>
      </c>
    </row>
    <row r="26">
      <c r="A26" s="1" t="s">
        <v>62</v>
      </c>
      <c r="B26" s="1">
        <v>118.0</v>
      </c>
      <c r="C26" s="1">
        <v>1493.0</v>
      </c>
      <c r="D26" s="1">
        <v>310.0</v>
      </c>
      <c r="E26" s="8">
        <v>0.0164067796610169</v>
      </c>
      <c r="F26" s="2">
        <v>292.0</v>
      </c>
      <c r="G26" s="2">
        <v>315.0</v>
      </c>
      <c r="H26" s="3">
        <v>156.689237288135</v>
      </c>
      <c r="I26" s="3">
        <v>88.8723952075488</v>
      </c>
      <c r="Q26" s="13"/>
      <c r="R26" s="14"/>
      <c r="T26" s="9" t="str">
        <f t="shared" si="1"/>
        <v>#N/A</v>
      </c>
      <c r="V26" s="9" t="str">
        <f t="shared" si="2"/>
        <v/>
      </c>
    </row>
    <row r="27">
      <c r="A27" s="1" t="s">
        <v>63</v>
      </c>
      <c r="B27" s="1">
        <v>126.0</v>
      </c>
      <c r="C27" s="1">
        <v>968.0</v>
      </c>
      <c r="D27" s="1">
        <v>190.0</v>
      </c>
      <c r="E27" s="8">
        <v>0.0168253968253968</v>
      </c>
      <c r="F27" s="2">
        <v>179.0</v>
      </c>
      <c r="G27" s="2">
        <v>194.0</v>
      </c>
      <c r="H27" s="3">
        <v>92.9445714285714</v>
      </c>
      <c r="I27" s="3">
        <v>53.4528753207385</v>
      </c>
      <c r="Q27" s="13"/>
      <c r="R27" s="14"/>
      <c r="T27" s="9" t="str">
        <f t="shared" si="1"/>
        <v>#N/A</v>
      </c>
      <c r="V27" s="9" t="str">
        <f t="shared" si="2"/>
        <v/>
      </c>
    </row>
    <row r="28">
      <c r="A28" s="1" t="s">
        <v>64</v>
      </c>
      <c r="B28" s="1">
        <v>89.0</v>
      </c>
      <c r="C28" s="1">
        <v>1343.0</v>
      </c>
      <c r="D28" s="1">
        <v>347.0</v>
      </c>
      <c r="E28" s="8">
        <v>0.0168539325842696</v>
      </c>
      <c r="F28" s="2">
        <v>327.0</v>
      </c>
      <c r="G28" s="2">
        <v>353.0</v>
      </c>
      <c r="H28" s="3">
        <v>167.320764044943</v>
      </c>
      <c r="I28" s="3">
        <v>100.371176467567</v>
      </c>
      <c r="Q28" s="13"/>
      <c r="R28" s="14"/>
      <c r="T28" s="9" t="str">
        <f t="shared" si="1"/>
        <v>#N/A</v>
      </c>
      <c r="V28" s="9" t="str">
        <f t="shared" si="2"/>
        <v/>
      </c>
    </row>
    <row r="29">
      <c r="A29" s="1" t="s">
        <v>65</v>
      </c>
      <c r="B29" s="1">
        <v>141.0</v>
      </c>
      <c r="C29" s="1">
        <v>1140.0</v>
      </c>
      <c r="D29" s="1">
        <v>303.0</v>
      </c>
      <c r="E29" s="8">
        <v>0.0172056737588652</v>
      </c>
      <c r="F29" s="2">
        <v>283.0</v>
      </c>
      <c r="G29" s="2">
        <v>309.009999999994</v>
      </c>
      <c r="H29" s="3">
        <v>142.746751773049</v>
      </c>
      <c r="I29" s="3">
        <v>84.1785431552892</v>
      </c>
      <c r="Q29" s="13"/>
      <c r="R29" s="14"/>
      <c r="T29" s="9" t="str">
        <f t="shared" si="1"/>
        <v>#N/A</v>
      </c>
      <c r="V29" s="9" t="str">
        <f t="shared" si="2"/>
        <v/>
      </c>
    </row>
    <row r="30">
      <c r="A30" s="1" t="s">
        <v>66</v>
      </c>
      <c r="B30" s="1">
        <v>136.0</v>
      </c>
      <c r="C30" s="1">
        <v>1539.0</v>
      </c>
      <c r="D30" s="1">
        <v>364.0</v>
      </c>
      <c r="E30" s="8">
        <v>0.0172941176470588</v>
      </c>
      <c r="F30" s="2">
        <v>343.0</v>
      </c>
      <c r="G30" s="2">
        <v>370.0</v>
      </c>
      <c r="H30" s="3">
        <v>169.711</v>
      </c>
      <c r="I30" s="3">
        <v>107.001591423844</v>
      </c>
      <c r="Q30" s="13"/>
      <c r="R30" s="14"/>
      <c r="T30" s="9" t="str">
        <f t="shared" si="1"/>
        <v>#N/A</v>
      </c>
      <c r="V30" s="9" t="str">
        <f t="shared" si="2"/>
        <v/>
      </c>
    </row>
    <row r="31">
      <c r="A31" s="1" t="s">
        <v>67</v>
      </c>
      <c r="B31" s="1">
        <v>111.0</v>
      </c>
      <c r="C31" s="1">
        <v>864.0</v>
      </c>
      <c r="D31" s="1">
        <v>148.0</v>
      </c>
      <c r="E31" s="8">
        <v>0.0179639639639639</v>
      </c>
      <c r="F31" s="2">
        <v>136.049999999995</v>
      </c>
      <c r="G31" s="2">
        <v>152.0</v>
      </c>
      <c r="H31" s="3">
        <v>66.9394954954954</v>
      </c>
      <c r="I31" s="3">
        <v>41.3859054272558</v>
      </c>
      <c r="Q31" s="13"/>
      <c r="R31" s="14"/>
      <c r="T31" s="9" t="str">
        <f t="shared" si="1"/>
        <v>#N/A</v>
      </c>
      <c r="V31" s="9" t="str">
        <f t="shared" si="2"/>
        <v/>
      </c>
    </row>
    <row r="32">
      <c r="A32" s="1" t="s">
        <v>68</v>
      </c>
      <c r="B32" s="1">
        <v>103.0</v>
      </c>
      <c r="C32" s="1">
        <v>1136.0</v>
      </c>
      <c r="D32" s="1">
        <v>256.0</v>
      </c>
      <c r="E32" s="8">
        <v>0.0183106796116504</v>
      </c>
      <c r="F32" s="2">
        <v>242.0</v>
      </c>
      <c r="G32" s="2">
        <v>262.0</v>
      </c>
      <c r="H32" s="3">
        <v>121.147669902912</v>
      </c>
      <c r="I32" s="3">
        <v>73.2736750527479</v>
      </c>
      <c r="Q32" s="13"/>
      <c r="R32" s="14"/>
      <c r="T32" s="9" t="str">
        <f t="shared" si="1"/>
        <v>#N/A</v>
      </c>
      <c r="V32" s="9" t="str">
        <f t="shared" si="2"/>
        <v/>
      </c>
    </row>
    <row r="33">
      <c r="A33" s="1" t="s">
        <v>69</v>
      </c>
      <c r="B33" s="1">
        <v>93.0</v>
      </c>
      <c r="C33" s="1">
        <v>1072.0</v>
      </c>
      <c r="D33" s="1">
        <v>211.0</v>
      </c>
      <c r="E33" s="8">
        <v>0.018774193548387</v>
      </c>
      <c r="F33" s="2">
        <v>197.0</v>
      </c>
      <c r="G33" s="2">
        <v>217.0</v>
      </c>
      <c r="H33" s="3">
        <v>103.415075268817</v>
      </c>
      <c r="I33" s="3">
        <v>59.4487008697571</v>
      </c>
      <c r="Q33" s="13"/>
      <c r="R33" s="14"/>
      <c r="T33" s="9" t="str">
        <f t="shared" si="1"/>
        <v>#N/A</v>
      </c>
      <c r="V33" s="9" t="str">
        <f t="shared" si="2"/>
        <v/>
      </c>
    </row>
    <row r="34">
      <c r="A34" s="1" t="s">
        <v>70</v>
      </c>
      <c r="B34" s="1">
        <v>123.0</v>
      </c>
      <c r="C34" s="1">
        <v>1157.0</v>
      </c>
      <c r="D34" s="1">
        <v>250.0</v>
      </c>
      <c r="E34" s="8">
        <v>0.0189918699186991</v>
      </c>
      <c r="F34" s="2">
        <v>237.0</v>
      </c>
      <c r="G34" s="2">
        <v>256.0</v>
      </c>
      <c r="H34" s="3">
        <v>131.827642276422</v>
      </c>
      <c r="I34" s="3">
        <v>69.6619856452185</v>
      </c>
      <c r="Q34" s="13"/>
      <c r="R34" s="14"/>
      <c r="T34" s="9" t="str">
        <f t="shared" si="1"/>
        <v>#N/A</v>
      </c>
      <c r="V34" s="9" t="str">
        <f t="shared" si="2"/>
        <v/>
      </c>
    </row>
    <row r="35">
      <c r="A35" s="1" t="s">
        <v>71</v>
      </c>
      <c r="B35" s="1">
        <v>112.0</v>
      </c>
      <c r="C35" s="1">
        <v>1116.0</v>
      </c>
      <c r="D35" s="1">
        <v>203.0</v>
      </c>
      <c r="E35" s="8">
        <v>0.0192142857142857</v>
      </c>
      <c r="F35" s="2">
        <v>192.0</v>
      </c>
      <c r="G35" s="2">
        <v>208.0</v>
      </c>
      <c r="H35" s="3">
        <v>112.323446428571</v>
      </c>
      <c r="I35" s="3">
        <v>56.3833787588593</v>
      </c>
      <c r="Q35" s="13"/>
      <c r="R35" s="14"/>
      <c r="T35" s="9" t="str">
        <f t="shared" si="1"/>
        <v>#N/A</v>
      </c>
      <c r="V35" s="9" t="str">
        <f t="shared" si="2"/>
        <v/>
      </c>
    </row>
    <row r="36">
      <c r="A36" s="1" t="s">
        <v>72</v>
      </c>
      <c r="B36" s="1">
        <v>104.0</v>
      </c>
      <c r="C36" s="1">
        <v>1419.0</v>
      </c>
      <c r="D36" s="1">
        <v>325.0</v>
      </c>
      <c r="E36" s="8">
        <v>0.0198846153846153</v>
      </c>
      <c r="F36" s="2">
        <v>308.0</v>
      </c>
      <c r="G36" s="2">
        <v>334.0</v>
      </c>
      <c r="H36" s="3">
        <v>155.987673076923</v>
      </c>
      <c r="I36" s="3">
        <v>93.1513141550681</v>
      </c>
      <c r="Q36" s="13"/>
      <c r="R36" s="14"/>
      <c r="T36" s="9" t="str">
        <f t="shared" si="1"/>
        <v>#N/A</v>
      </c>
      <c r="V36" s="9" t="str">
        <f t="shared" si="2"/>
        <v/>
      </c>
    </row>
    <row r="37">
      <c r="A37" s="1" t="s">
        <v>73</v>
      </c>
      <c r="B37" s="1">
        <v>94.0</v>
      </c>
      <c r="C37" s="1">
        <v>1574.0</v>
      </c>
      <c r="D37" s="1">
        <v>329.0</v>
      </c>
      <c r="E37" s="8">
        <v>0.0199148936170212</v>
      </c>
      <c r="F37" s="2">
        <v>312.0</v>
      </c>
      <c r="G37" s="2">
        <v>338.0</v>
      </c>
      <c r="H37" s="3">
        <v>160.378361702127</v>
      </c>
      <c r="I37" s="3">
        <v>95.7344795036073</v>
      </c>
      <c r="Q37" s="13"/>
      <c r="R37" s="14"/>
      <c r="T37" s="9" t="str">
        <f t="shared" si="1"/>
        <v>#N/A</v>
      </c>
      <c r="V37" s="9" t="str">
        <f t="shared" si="2"/>
        <v/>
      </c>
    </row>
    <row r="38">
      <c r="A38" s="1" t="s">
        <v>74</v>
      </c>
      <c r="B38" s="1">
        <v>104.0</v>
      </c>
      <c r="C38" s="1">
        <v>793.0</v>
      </c>
      <c r="D38" s="1">
        <v>129.0</v>
      </c>
      <c r="E38" s="8">
        <v>0.0201923076923076</v>
      </c>
      <c r="F38" s="2">
        <v>119.0</v>
      </c>
      <c r="G38" s="2">
        <v>134.0</v>
      </c>
      <c r="H38" s="3">
        <v>53.982673076923</v>
      </c>
      <c r="I38" s="3">
        <v>36.7885505256423</v>
      </c>
      <c r="Q38" s="13"/>
      <c r="R38" s="14"/>
      <c r="T38" s="9" t="str">
        <f t="shared" si="1"/>
        <v>#N/A</v>
      </c>
      <c r="V38" s="9" t="str">
        <f t="shared" si="2"/>
        <v/>
      </c>
    </row>
    <row r="39">
      <c r="A39" s="1" t="s">
        <v>75</v>
      </c>
      <c r="B39" s="1">
        <v>134.0</v>
      </c>
      <c r="C39" s="1">
        <v>1068.0</v>
      </c>
      <c r="D39" s="1">
        <v>194.0</v>
      </c>
      <c r="E39" s="8">
        <v>0.0206716417910447</v>
      </c>
      <c r="F39" s="2">
        <v>182.0</v>
      </c>
      <c r="G39" s="2">
        <v>201.0</v>
      </c>
      <c r="H39" s="3">
        <v>90.5615522388059</v>
      </c>
      <c r="I39" s="3">
        <v>54.6965313313386</v>
      </c>
      <c r="Q39" s="13"/>
      <c r="R39" s="14"/>
      <c r="T39" s="9" t="str">
        <f t="shared" si="1"/>
        <v>#N/A</v>
      </c>
      <c r="V39" s="9" t="str">
        <f t="shared" si="2"/>
        <v/>
      </c>
    </row>
    <row r="40">
      <c r="A40" s="1" t="s">
        <v>76</v>
      </c>
      <c r="B40" s="1">
        <v>137.0</v>
      </c>
      <c r="C40" s="1">
        <v>1344.0</v>
      </c>
      <c r="D40" s="1">
        <v>368.0</v>
      </c>
      <c r="E40" s="8">
        <v>0.0210656934306569</v>
      </c>
      <c r="F40" s="2">
        <v>350.0</v>
      </c>
      <c r="G40" s="2">
        <v>378.0</v>
      </c>
      <c r="H40" s="3">
        <v>177.207795620437</v>
      </c>
      <c r="I40" s="3">
        <v>106.490443163758</v>
      </c>
      <c r="Q40" s="13"/>
      <c r="R40" s="14"/>
      <c r="T40" s="9" t="str">
        <f t="shared" si="1"/>
        <v>#N/A</v>
      </c>
      <c r="V40" s="9" t="str">
        <f t="shared" si="2"/>
        <v/>
      </c>
    </row>
    <row r="41">
      <c r="A41" s="1" t="s">
        <v>77</v>
      </c>
      <c r="B41" s="1">
        <v>81.0</v>
      </c>
      <c r="C41" s="1">
        <v>1006.0</v>
      </c>
      <c r="D41" s="1">
        <v>277.0</v>
      </c>
      <c r="E41" s="8">
        <v>0.0211851851851851</v>
      </c>
      <c r="F41" s="2">
        <v>264.0</v>
      </c>
      <c r="G41" s="2">
        <v>286.0</v>
      </c>
      <c r="H41" s="3">
        <v>143.215629629629</v>
      </c>
      <c r="I41" s="3">
        <v>77.5027785892093</v>
      </c>
      <c r="Q41" s="13"/>
      <c r="R41" s="14"/>
      <c r="T41" s="9" t="str">
        <f t="shared" si="1"/>
        <v>#N/A</v>
      </c>
      <c r="V41" s="9" t="str">
        <f t="shared" si="2"/>
        <v/>
      </c>
    </row>
    <row r="42">
      <c r="A42" s="1" t="s">
        <v>78</v>
      </c>
      <c r="B42" s="1">
        <v>103.0</v>
      </c>
      <c r="C42" s="1">
        <v>1419.0</v>
      </c>
      <c r="D42" s="1">
        <v>218.0</v>
      </c>
      <c r="E42" s="8">
        <v>0.022135922330097</v>
      </c>
      <c r="F42" s="2">
        <v>207.0</v>
      </c>
      <c r="G42" s="2">
        <v>225.0</v>
      </c>
      <c r="H42" s="3">
        <v>111.457126213592</v>
      </c>
      <c r="I42" s="3">
        <v>62.4925381696645</v>
      </c>
      <c r="Q42" s="13"/>
      <c r="R42" s="14"/>
      <c r="S42" s="13"/>
      <c r="T42" s="9" t="str">
        <f t="shared" si="1"/>
        <v>#N/A</v>
      </c>
      <c r="V42" s="9" t="str">
        <f t="shared" si="2"/>
        <v/>
      </c>
    </row>
    <row r="43">
      <c r="A43" s="1" t="s">
        <v>79</v>
      </c>
      <c r="B43" s="1">
        <v>102.0</v>
      </c>
      <c r="C43" s="1">
        <v>1268.0</v>
      </c>
      <c r="D43" s="1">
        <v>231.0</v>
      </c>
      <c r="E43" s="8">
        <v>0.0223529411764705</v>
      </c>
      <c r="F43" s="2">
        <v>220.0</v>
      </c>
      <c r="G43" s="2">
        <v>239.0</v>
      </c>
      <c r="H43" s="3">
        <v>116.544882352941</v>
      </c>
      <c r="I43" s="3">
        <v>67.4182932154485</v>
      </c>
      <c r="Q43" s="13"/>
      <c r="R43" s="14"/>
      <c r="S43" s="13"/>
      <c r="T43" s="9" t="str">
        <f t="shared" si="1"/>
        <v>#N/A</v>
      </c>
      <c r="V43" s="9" t="str">
        <f t="shared" si="2"/>
        <v/>
      </c>
    </row>
    <row r="44">
      <c r="A44" s="1" t="s">
        <v>80</v>
      </c>
      <c r="B44" s="1">
        <v>131.0</v>
      </c>
      <c r="C44" s="1">
        <v>1129.0</v>
      </c>
      <c r="D44" s="1">
        <v>175.0</v>
      </c>
      <c r="E44" s="8">
        <v>0.0227328244274809</v>
      </c>
      <c r="F44" s="2">
        <v>165.0</v>
      </c>
      <c r="G44" s="2">
        <v>182.0</v>
      </c>
      <c r="H44" s="3">
        <v>80.3494809160305</v>
      </c>
      <c r="I44" s="3">
        <v>51.9766511044708</v>
      </c>
      <c r="Q44" s="13"/>
      <c r="R44" s="14"/>
      <c r="S44" s="13"/>
      <c r="T44" s="9" t="str">
        <f t="shared" si="1"/>
        <v>#N/A</v>
      </c>
      <c r="V44" s="9" t="str">
        <f t="shared" si="2"/>
        <v/>
      </c>
    </row>
    <row r="45">
      <c r="A45" s="1" t="s">
        <v>81</v>
      </c>
      <c r="B45" s="1">
        <v>119.0</v>
      </c>
      <c r="C45" s="1">
        <v>1313.0</v>
      </c>
      <c r="D45" s="1">
        <v>315.0</v>
      </c>
      <c r="E45" s="8">
        <v>0.0230588235294117</v>
      </c>
      <c r="F45" s="2">
        <v>302.0</v>
      </c>
      <c r="G45" s="2">
        <v>325.0</v>
      </c>
      <c r="H45" s="3">
        <v>159.942403361344</v>
      </c>
      <c r="I45" s="3">
        <v>90.1079389722154</v>
      </c>
      <c r="Q45" s="13"/>
      <c r="R45" s="14"/>
    </row>
    <row r="46">
      <c r="A46" s="1" t="s">
        <v>82</v>
      </c>
      <c r="B46" s="1">
        <v>97.0</v>
      </c>
      <c r="C46" s="1">
        <v>1243.0</v>
      </c>
      <c r="D46" s="1">
        <v>194.0</v>
      </c>
      <c r="E46" s="8">
        <v>0.0235670103092783</v>
      </c>
      <c r="F46" s="2">
        <v>184.0</v>
      </c>
      <c r="G46" s="2">
        <v>202.0</v>
      </c>
      <c r="H46" s="3">
        <v>94.5480618556701</v>
      </c>
      <c r="I46" s="3">
        <v>56.2567338407515</v>
      </c>
      <c r="Q46" s="13"/>
      <c r="R46" s="14"/>
    </row>
    <row r="47">
      <c r="A47" s="1" t="s">
        <v>83</v>
      </c>
      <c r="B47" s="1">
        <v>128.0</v>
      </c>
      <c r="C47" s="1">
        <v>1015.0</v>
      </c>
      <c r="D47" s="1">
        <v>210.0</v>
      </c>
      <c r="E47" s="8">
        <v>0.025</v>
      </c>
      <c r="F47" s="2">
        <v>200.0</v>
      </c>
      <c r="G47" s="2">
        <v>218.0</v>
      </c>
      <c r="H47" s="3">
        <v>107.660359375</v>
      </c>
      <c r="I47" s="3">
        <v>59.7877848926588</v>
      </c>
      <c r="Q47" s="13"/>
      <c r="R47" s="14"/>
    </row>
    <row r="48">
      <c r="A48" s="1" t="s">
        <v>84</v>
      </c>
      <c r="B48" s="1">
        <v>124.0</v>
      </c>
      <c r="C48" s="1">
        <v>1324.0</v>
      </c>
      <c r="D48" s="1">
        <v>288.0</v>
      </c>
      <c r="E48" s="8">
        <v>0.0259677419354838</v>
      </c>
      <c r="F48" s="2">
        <v>278.0</v>
      </c>
      <c r="G48" s="2">
        <v>299.0</v>
      </c>
      <c r="H48" s="3">
        <v>145.304225806451</v>
      </c>
      <c r="I48" s="3">
        <v>84.4302479520185</v>
      </c>
      <c r="Q48" s="13"/>
      <c r="R48" s="14"/>
    </row>
    <row r="49">
      <c r="A49" s="1" t="s">
        <v>85</v>
      </c>
      <c r="B49" s="1">
        <v>109.0</v>
      </c>
      <c r="C49" s="1">
        <v>1642.0</v>
      </c>
      <c r="D49" s="1">
        <v>321.0</v>
      </c>
      <c r="E49" s="8">
        <v>0.0263669724770642</v>
      </c>
      <c r="F49" s="2">
        <v>309.0</v>
      </c>
      <c r="G49" s="2">
        <v>334.0</v>
      </c>
      <c r="H49" s="3">
        <v>160.88447706422</v>
      </c>
      <c r="I49" s="3">
        <v>95.6885431838793</v>
      </c>
      <c r="Q49" s="13"/>
      <c r="R49" s="14"/>
    </row>
    <row r="50">
      <c r="A50" s="1" t="s">
        <v>86</v>
      </c>
      <c r="B50" s="1">
        <v>97.0</v>
      </c>
      <c r="C50" s="1">
        <v>1192.0</v>
      </c>
      <c r="D50" s="1">
        <v>161.0</v>
      </c>
      <c r="E50" s="8">
        <v>0.0269278350515463</v>
      </c>
      <c r="F50" s="2">
        <v>153.0</v>
      </c>
      <c r="G50" s="2">
        <v>170.0</v>
      </c>
      <c r="H50" s="3">
        <v>76.3473608247422</v>
      </c>
      <c r="I50" s="3">
        <v>46.517671403764</v>
      </c>
      <c r="Q50" s="13"/>
      <c r="R50" s="14"/>
    </row>
    <row r="51">
      <c r="A51" s="1" t="s">
        <v>87</v>
      </c>
      <c r="B51" s="1">
        <v>95.0</v>
      </c>
      <c r="C51" s="1">
        <v>1349.0</v>
      </c>
      <c r="D51" s="1">
        <v>318.0</v>
      </c>
      <c r="E51" s="8">
        <v>0.0269684210526315</v>
      </c>
      <c r="F51" s="2">
        <v>304.0</v>
      </c>
      <c r="G51" s="2">
        <v>332.010000000002</v>
      </c>
      <c r="H51" s="3">
        <v>147.369578947368</v>
      </c>
      <c r="I51" s="3">
        <v>94.0299901813614</v>
      </c>
      <c r="Q51" s="13"/>
      <c r="R51" s="14"/>
    </row>
    <row r="52">
      <c r="A52" s="1" t="s">
        <v>88</v>
      </c>
      <c r="B52" s="1">
        <v>133.0</v>
      </c>
      <c r="C52" s="1">
        <v>1457.0</v>
      </c>
      <c r="D52" s="1">
        <v>264.0</v>
      </c>
      <c r="E52" s="8">
        <v>0.028360902255639</v>
      </c>
      <c r="F52" s="2">
        <v>255.0</v>
      </c>
      <c r="G52" s="2">
        <v>276.0</v>
      </c>
      <c r="H52" s="3">
        <v>138.101203007518</v>
      </c>
      <c r="I52" s="3">
        <v>75.8454006222213</v>
      </c>
      <c r="Q52" s="13"/>
      <c r="R52" s="14"/>
    </row>
    <row r="53">
      <c r="A53" s="1" t="s">
        <v>89</v>
      </c>
      <c r="B53" s="1">
        <v>105.0</v>
      </c>
      <c r="C53" s="1">
        <v>1223.0</v>
      </c>
      <c r="D53" s="1">
        <v>196.0</v>
      </c>
      <c r="E53" s="8">
        <v>0.0284571428571428</v>
      </c>
      <c r="F53" s="2">
        <v>189.0</v>
      </c>
      <c r="G53" s="2">
        <v>206.0</v>
      </c>
      <c r="H53" s="3">
        <v>104.340038095238</v>
      </c>
      <c r="I53" s="3">
        <v>56.6486208195791</v>
      </c>
      <c r="Q53" s="13"/>
      <c r="R53" s="14"/>
    </row>
    <row r="54">
      <c r="A54" s="1" t="s">
        <v>90</v>
      </c>
      <c r="B54" s="1">
        <v>77.0</v>
      </c>
      <c r="C54" s="1">
        <v>733.0</v>
      </c>
      <c r="D54" s="1">
        <v>111.0</v>
      </c>
      <c r="E54" s="8">
        <v>0.0288051948051948</v>
      </c>
      <c r="F54" s="2">
        <v>105.0</v>
      </c>
      <c r="G54" s="2">
        <v>119.0</v>
      </c>
      <c r="H54" s="3">
        <v>49.0385454545454</v>
      </c>
      <c r="I54" s="3">
        <v>33.4009117219623</v>
      </c>
      <c r="Q54" s="13"/>
      <c r="R54" s="14"/>
    </row>
    <row r="55">
      <c r="A55" s="1" t="s">
        <v>91</v>
      </c>
      <c r="B55" s="1">
        <v>115.0</v>
      </c>
      <c r="C55" s="1">
        <v>1905.0</v>
      </c>
      <c r="D55" s="1">
        <v>479.0</v>
      </c>
      <c r="E55" s="8">
        <v>0.0289217391304347</v>
      </c>
      <c r="F55" s="2">
        <v>465.0</v>
      </c>
      <c r="G55" s="2">
        <v>497.0</v>
      </c>
      <c r="H55" s="3">
        <v>248.676434782608</v>
      </c>
      <c r="I55" s="3">
        <v>141.340862676268</v>
      </c>
      <c r="Q55" s="13"/>
      <c r="R55" s="14"/>
    </row>
    <row r="56">
      <c r="A56" s="1" t="s">
        <v>92</v>
      </c>
      <c r="B56" s="1">
        <v>85.0</v>
      </c>
      <c r="C56" s="1">
        <v>764.0</v>
      </c>
      <c r="D56" s="1">
        <v>119.0</v>
      </c>
      <c r="E56" s="8">
        <v>0.0292705882352941</v>
      </c>
      <c r="F56" s="2">
        <v>113.0</v>
      </c>
      <c r="G56" s="2">
        <v>127.0</v>
      </c>
      <c r="H56" s="3">
        <v>58.5636705882353</v>
      </c>
      <c r="I56" s="3">
        <v>33.0031316543956</v>
      </c>
      <c r="Q56" s="13"/>
      <c r="R56" s="14"/>
    </row>
    <row r="57">
      <c r="A57" s="1" t="s">
        <v>93</v>
      </c>
      <c r="B57" s="1">
        <v>59.0</v>
      </c>
      <c r="C57" s="1">
        <v>844.0</v>
      </c>
      <c r="D57" s="1">
        <v>142.0</v>
      </c>
      <c r="E57" s="8">
        <v>0.029593220338983</v>
      </c>
      <c r="F57" s="2">
        <v>137.0</v>
      </c>
      <c r="G57" s="2">
        <v>150.0</v>
      </c>
      <c r="H57" s="3">
        <v>71.4039322033898</v>
      </c>
      <c r="I57" s="3">
        <v>42.3762384425255</v>
      </c>
      <c r="Q57" s="13"/>
      <c r="R57" s="14"/>
    </row>
    <row r="58">
      <c r="A58" s="1" t="s">
        <v>94</v>
      </c>
      <c r="B58" s="1">
        <v>93.0</v>
      </c>
      <c r="C58" s="1">
        <v>767.0</v>
      </c>
      <c r="D58" s="1">
        <v>124.0</v>
      </c>
      <c r="E58" s="8">
        <v>0.0296129032258064</v>
      </c>
      <c r="F58" s="2">
        <v>118.0</v>
      </c>
      <c r="G58" s="2">
        <v>131.0</v>
      </c>
      <c r="H58" s="3">
        <v>56.6116559139784</v>
      </c>
      <c r="I58" s="3">
        <v>37.840898191872</v>
      </c>
      <c r="Q58" s="13"/>
      <c r="R58" s="14"/>
    </row>
    <row r="59">
      <c r="A59" s="1" t="s">
        <v>95</v>
      </c>
      <c r="B59" s="1">
        <v>79.0</v>
      </c>
      <c r="C59" s="1">
        <v>1004.0</v>
      </c>
      <c r="D59" s="1">
        <v>211.0</v>
      </c>
      <c r="E59" s="8">
        <v>0.0296962025316455</v>
      </c>
      <c r="F59" s="2">
        <v>203.0</v>
      </c>
      <c r="G59" s="2">
        <v>223.0</v>
      </c>
      <c r="H59" s="3">
        <v>98.2995443037974</v>
      </c>
      <c r="I59" s="3">
        <v>64.5964430168198</v>
      </c>
      <c r="Q59" s="13"/>
      <c r="R59" s="14"/>
    </row>
    <row r="60">
      <c r="A60" s="1" t="s">
        <v>96</v>
      </c>
      <c r="B60" s="1">
        <v>121.0</v>
      </c>
      <c r="C60" s="1">
        <v>972.0</v>
      </c>
      <c r="D60" s="1">
        <v>190.0</v>
      </c>
      <c r="E60" s="8">
        <v>0.0304462809917355</v>
      </c>
      <c r="F60" s="2">
        <v>184.0</v>
      </c>
      <c r="G60" s="2">
        <v>199.0</v>
      </c>
      <c r="H60" s="3">
        <v>100.933933884297</v>
      </c>
      <c r="I60" s="3">
        <v>56.1477750541623</v>
      </c>
      <c r="Q60" s="13"/>
      <c r="R60" s="14"/>
    </row>
    <row r="61">
      <c r="A61" s="1" t="s">
        <v>97</v>
      </c>
      <c r="B61" s="1">
        <v>120.0</v>
      </c>
      <c r="C61" s="1">
        <v>1385.0</v>
      </c>
      <c r="D61" s="1">
        <v>348.0</v>
      </c>
      <c r="E61" s="8">
        <v>0.0311833333333333</v>
      </c>
      <c r="F61" s="2">
        <v>338.0</v>
      </c>
      <c r="G61" s="2">
        <v>364.0</v>
      </c>
      <c r="H61" s="3">
        <v>185.1102</v>
      </c>
      <c r="I61" s="3">
        <v>101.655367734779</v>
      </c>
      <c r="Q61" s="13"/>
      <c r="R61" s="14"/>
    </row>
    <row r="62">
      <c r="A62" s="1" t="s">
        <v>98</v>
      </c>
      <c r="B62" s="1">
        <v>132.0</v>
      </c>
      <c r="C62" s="1">
        <v>947.0</v>
      </c>
      <c r="D62" s="1">
        <v>257.0</v>
      </c>
      <c r="E62" s="8">
        <v>0.0312727272727272</v>
      </c>
      <c r="F62" s="2">
        <v>250.0</v>
      </c>
      <c r="G62" s="2">
        <v>269.0</v>
      </c>
      <c r="H62" s="3">
        <v>131.138727272727</v>
      </c>
      <c r="I62" s="3">
        <v>74.259514828893</v>
      </c>
      <c r="Q62" s="13"/>
      <c r="R62" s="14"/>
    </row>
    <row r="63">
      <c r="A63" s="1" t="s">
        <v>99</v>
      </c>
      <c r="B63" s="1">
        <v>113.0</v>
      </c>
      <c r="C63" s="1">
        <v>945.0</v>
      </c>
      <c r="D63" s="1">
        <v>146.0</v>
      </c>
      <c r="E63" s="8">
        <v>0.0321238938053097</v>
      </c>
      <c r="F63" s="2">
        <v>140.0</v>
      </c>
      <c r="G63" s="2">
        <v>157.0</v>
      </c>
      <c r="H63" s="3">
        <v>72.7527256637168</v>
      </c>
      <c r="I63" s="3">
        <v>43.1273517158436</v>
      </c>
      <c r="Q63" s="13"/>
      <c r="R63" s="14"/>
    </row>
    <row r="64">
      <c r="A64" s="1" t="s">
        <v>100</v>
      </c>
      <c r="B64" s="1">
        <v>114.0</v>
      </c>
      <c r="C64" s="1">
        <v>1602.0</v>
      </c>
      <c r="D64" s="1">
        <v>274.0</v>
      </c>
      <c r="E64" s="8">
        <v>0.0321929824561403</v>
      </c>
      <c r="F64" s="2">
        <v>267.0</v>
      </c>
      <c r="G64" s="2">
        <v>288.0</v>
      </c>
      <c r="H64" s="3">
        <v>142.914912280701</v>
      </c>
      <c r="I64" s="3">
        <v>79.5678312989859</v>
      </c>
      <c r="Q64" s="13"/>
      <c r="R64" s="14"/>
    </row>
    <row r="65">
      <c r="A65" s="1" t="s">
        <v>101</v>
      </c>
      <c r="B65" s="1">
        <v>136.0</v>
      </c>
      <c r="C65" s="1">
        <v>1151.0</v>
      </c>
      <c r="D65" s="1">
        <v>189.0</v>
      </c>
      <c r="E65" s="8">
        <v>0.0323823529411764</v>
      </c>
      <c r="F65" s="2">
        <v>182.0</v>
      </c>
      <c r="G65" s="2">
        <v>202.0</v>
      </c>
      <c r="H65" s="3">
        <v>92.2315735294117</v>
      </c>
      <c r="I65" s="3">
        <v>54.2735110901572</v>
      </c>
      <c r="Q65" s="13"/>
      <c r="R65" s="14"/>
    </row>
    <row r="66">
      <c r="A66" s="1" t="s">
        <v>102</v>
      </c>
      <c r="B66" s="1">
        <v>129.0</v>
      </c>
      <c r="C66" s="1">
        <v>996.0</v>
      </c>
      <c r="D66" s="1">
        <v>154.0</v>
      </c>
      <c r="E66" s="8">
        <v>0.0324341085271317</v>
      </c>
      <c r="F66" s="2">
        <v>149.0</v>
      </c>
      <c r="G66" s="2">
        <v>162.0</v>
      </c>
      <c r="H66" s="3">
        <v>84.0515348837209</v>
      </c>
      <c r="I66" s="3">
        <v>45.8946148228433</v>
      </c>
      <c r="Q66" s="13"/>
      <c r="R66" s="14"/>
    </row>
    <row r="67">
      <c r="A67" s="1" t="s">
        <v>103</v>
      </c>
      <c r="B67" s="1">
        <v>125.0</v>
      </c>
      <c r="C67" s="1">
        <v>1078.0</v>
      </c>
      <c r="D67" s="1">
        <v>151.0</v>
      </c>
      <c r="E67" s="8">
        <v>0.032624</v>
      </c>
      <c r="F67" s="2">
        <v>145.0</v>
      </c>
      <c r="G67" s="2">
        <v>162.0</v>
      </c>
      <c r="H67" s="3">
        <v>67.023264</v>
      </c>
      <c r="I67" s="3">
        <v>45.7891994556173</v>
      </c>
      <c r="Q67" s="13"/>
      <c r="R67" s="14"/>
    </row>
    <row r="68">
      <c r="A68" s="1" t="s">
        <v>104</v>
      </c>
      <c r="B68" s="1">
        <v>126.0</v>
      </c>
      <c r="C68" s="1">
        <v>1327.0</v>
      </c>
      <c r="D68" s="1">
        <v>235.0</v>
      </c>
      <c r="E68" s="8">
        <v>0.0329841269841269</v>
      </c>
      <c r="F68" s="2">
        <v>228.0</v>
      </c>
      <c r="G68" s="2">
        <v>248.0</v>
      </c>
      <c r="H68" s="3">
        <v>115.844904761904</v>
      </c>
      <c r="I68" s="3">
        <v>70.4715448107021</v>
      </c>
      <c r="Q68" s="13"/>
      <c r="R68" s="14"/>
    </row>
    <row r="69">
      <c r="A69" s="1" t="s">
        <v>105</v>
      </c>
      <c r="B69" s="1">
        <v>97.0</v>
      </c>
      <c r="C69" s="1">
        <v>1183.0</v>
      </c>
      <c r="D69" s="1">
        <v>194.0</v>
      </c>
      <c r="E69" s="8">
        <v>0.0341649484536082</v>
      </c>
      <c r="F69" s="2">
        <v>188.0</v>
      </c>
      <c r="G69" s="2">
        <v>207.0</v>
      </c>
      <c r="H69" s="3">
        <v>87.2842886597938</v>
      </c>
      <c r="I69" s="3">
        <v>59.0341746609204</v>
      </c>
      <c r="Q69" s="13"/>
      <c r="R69" s="14"/>
    </row>
    <row r="70">
      <c r="A70" s="1" t="s">
        <v>106</v>
      </c>
      <c r="B70" s="1">
        <v>96.0</v>
      </c>
      <c r="C70" s="1">
        <v>1000.0</v>
      </c>
      <c r="D70" s="1">
        <v>317.0</v>
      </c>
      <c r="E70" s="8">
        <v>0.0353125</v>
      </c>
      <c r="F70" s="2">
        <v>311.0</v>
      </c>
      <c r="G70" s="2">
        <v>333.0</v>
      </c>
      <c r="H70" s="3">
        <v>169.482291666666</v>
      </c>
      <c r="I70" s="3">
        <v>93.1661429190611</v>
      </c>
      <c r="Q70" s="13"/>
      <c r="R70" s="14"/>
    </row>
    <row r="71">
      <c r="A71" s="1" t="s">
        <v>107</v>
      </c>
      <c r="B71" s="1">
        <v>108.0</v>
      </c>
      <c r="C71" s="1">
        <v>1378.0</v>
      </c>
      <c r="D71" s="1">
        <v>302.0</v>
      </c>
      <c r="E71" s="8">
        <v>0.0358518518518518</v>
      </c>
      <c r="F71" s="2">
        <v>295.0</v>
      </c>
      <c r="G71" s="2">
        <v>320.0</v>
      </c>
      <c r="H71" s="3">
        <v>163.523981481481</v>
      </c>
      <c r="I71" s="3">
        <v>88.1274353951877</v>
      </c>
      <c r="Q71" s="13"/>
      <c r="R71" s="14"/>
    </row>
    <row r="72">
      <c r="A72" s="1" t="s">
        <v>108</v>
      </c>
      <c r="B72" s="1">
        <v>113.0</v>
      </c>
      <c r="C72" s="1">
        <v>1418.0</v>
      </c>
      <c r="D72" s="1">
        <v>242.0</v>
      </c>
      <c r="E72" s="8">
        <v>0.0360530973451327</v>
      </c>
      <c r="F72" s="2">
        <v>236.0</v>
      </c>
      <c r="G72" s="2">
        <v>257.0</v>
      </c>
      <c r="H72" s="3">
        <v>125.146814159292</v>
      </c>
      <c r="I72" s="3">
        <v>70.4187851014212</v>
      </c>
      <c r="Q72" s="13"/>
      <c r="R72" s="14"/>
    </row>
    <row r="73">
      <c r="A73" s="1" t="s">
        <v>109</v>
      </c>
      <c r="B73" s="1">
        <v>124.0</v>
      </c>
      <c r="C73" s="1">
        <v>1258.0</v>
      </c>
      <c r="D73" s="1">
        <v>242.0</v>
      </c>
      <c r="E73" s="8">
        <v>0.0366774193548387</v>
      </c>
      <c r="F73" s="2">
        <v>237.0</v>
      </c>
      <c r="G73" s="2">
        <v>256.0</v>
      </c>
      <c r="H73" s="3">
        <v>123.243548387096</v>
      </c>
      <c r="I73" s="3">
        <v>71.6570754243898</v>
      </c>
      <c r="Q73" s="13"/>
      <c r="R73" s="14"/>
    </row>
    <row r="74">
      <c r="A74" s="1" t="s">
        <v>110</v>
      </c>
      <c r="B74" s="1">
        <v>129.0</v>
      </c>
      <c r="C74" s="1">
        <v>1299.0</v>
      </c>
      <c r="D74" s="1">
        <v>205.0</v>
      </c>
      <c r="E74" s="8">
        <v>0.0368062015503876</v>
      </c>
      <c r="F74" s="2">
        <v>200.0</v>
      </c>
      <c r="G74" s="2">
        <v>218.0</v>
      </c>
      <c r="H74" s="3">
        <v>110.729705426356</v>
      </c>
      <c r="I74" s="3">
        <v>59.4888617917469</v>
      </c>
      <c r="Q74" s="13"/>
      <c r="R74" s="14"/>
    </row>
    <row r="75">
      <c r="A75" s="1" t="s">
        <v>111</v>
      </c>
      <c r="B75" s="1">
        <v>95.0</v>
      </c>
      <c r="C75" s="1">
        <v>1129.0</v>
      </c>
      <c r="D75" s="1">
        <v>201.0</v>
      </c>
      <c r="E75" s="8">
        <v>0.0369052631578947</v>
      </c>
      <c r="F75" s="2">
        <v>196.0</v>
      </c>
      <c r="G75" s="2">
        <v>215.0</v>
      </c>
      <c r="H75" s="3">
        <v>96.2371157894736</v>
      </c>
      <c r="I75" s="3">
        <v>59.7892893708463</v>
      </c>
      <c r="Q75" s="13"/>
      <c r="R75" s="14"/>
    </row>
    <row r="76">
      <c r="A76" s="1" t="s">
        <v>112</v>
      </c>
      <c r="B76" s="1">
        <v>124.0</v>
      </c>
      <c r="C76" s="1">
        <v>890.0</v>
      </c>
      <c r="D76" s="1">
        <v>119.0</v>
      </c>
      <c r="E76" s="8">
        <v>0.0371129032258064</v>
      </c>
      <c r="F76" s="2">
        <v>116.0</v>
      </c>
      <c r="G76" s="2">
        <v>128.0</v>
      </c>
      <c r="H76" s="3">
        <v>61.6454677419354</v>
      </c>
      <c r="I76" s="3">
        <v>34.8621691685422</v>
      </c>
      <c r="Q76" s="13"/>
      <c r="R76" s="14"/>
    </row>
    <row r="77">
      <c r="A77" s="1" t="s">
        <v>113</v>
      </c>
      <c r="B77" s="1">
        <v>98.0</v>
      </c>
      <c r="C77" s="1">
        <v>1404.0</v>
      </c>
      <c r="D77" s="1">
        <v>229.0</v>
      </c>
      <c r="E77" s="8">
        <v>0.037204081632653</v>
      </c>
      <c r="F77" s="2">
        <v>224.0</v>
      </c>
      <c r="G77" s="2">
        <v>244.0</v>
      </c>
      <c r="H77" s="3">
        <v>119.378714285714</v>
      </c>
      <c r="I77" s="3">
        <v>68.2139807321529</v>
      </c>
      <c r="Q77" s="13"/>
      <c r="R77" s="14"/>
    </row>
    <row r="78">
      <c r="A78" s="1" t="s">
        <v>114</v>
      </c>
      <c r="B78" s="1">
        <v>128.0</v>
      </c>
      <c r="C78" s="1">
        <v>1741.0</v>
      </c>
      <c r="D78" s="1">
        <v>272.0</v>
      </c>
      <c r="E78" s="8">
        <v>0.03725</v>
      </c>
      <c r="F78" s="2">
        <v>266.0</v>
      </c>
      <c r="G78" s="2">
        <v>290.0</v>
      </c>
      <c r="H78" s="3">
        <v>143.04203125</v>
      </c>
      <c r="I78" s="3">
        <v>79.8460269182131</v>
      </c>
      <c r="Q78" s="13"/>
      <c r="R78" s="14"/>
    </row>
    <row r="79">
      <c r="A79" s="1" t="s">
        <v>115</v>
      </c>
      <c r="B79" s="1">
        <v>65.0</v>
      </c>
      <c r="C79" s="1">
        <v>669.0</v>
      </c>
      <c r="D79" s="1">
        <v>124.0</v>
      </c>
      <c r="E79" s="8">
        <v>0.0375076923076923</v>
      </c>
      <c r="F79" s="2">
        <v>121.0</v>
      </c>
      <c r="G79" s="2">
        <v>134.0</v>
      </c>
      <c r="H79" s="3">
        <v>65.3519384615384</v>
      </c>
      <c r="I79" s="3">
        <v>35.1500810931888</v>
      </c>
      <c r="Q79" s="13"/>
      <c r="R79" s="14"/>
    </row>
    <row r="80">
      <c r="A80" s="1" t="s">
        <v>116</v>
      </c>
      <c r="B80" s="1">
        <v>121.0</v>
      </c>
      <c r="C80" s="1">
        <v>1474.0</v>
      </c>
      <c r="D80" s="1">
        <v>314.0</v>
      </c>
      <c r="E80" s="8">
        <v>0.0378347107438016</v>
      </c>
      <c r="F80" s="2">
        <v>308.0</v>
      </c>
      <c r="G80" s="2">
        <v>334.0</v>
      </c>
      <c r="H80" s="3">
        <v>159.174165289256</v>
      </c>
      <c r="I80" s="3">
        <v>93.8362834739531</v>
      </c>
      <c r="Q80" s="13"/>
      <c r="R80" s="14"/>
    </row>
    <row r="81">
      <c r="A81" s="1" t="s">
        <v>117</v>
      </c>
      <c r="B81" s="1">
        <v>111.0</v>
      </c>
      <c r="C81" s="1">
        <v>846.0</v>
      </c>
      <c r="D81" s="1">
        <v>150.0</v>
      </c>
      <c r="E81" s="8">
        <v>0.0379099099099099</v>
      </c>
      <c r="F81" s="2">
        <v>146.0</v>
      </c>
      <c r="G81" s="2">
        <v>162.0</v>
      </c>
      <c r="H81" s="3">
        <v>76.0068468468468</v>
      </c>
      <c r="I81" s="3">
        <v>42.9546178700722</v>
      </c>
      <c r="Q81" s="13"/>
      <c r="R81" s="14"/>
    </row>
    <row r="82">
      <c r="A82" s="1" t="s">
        <v>118</v>
      </c>
      <c r="B82" s="1">
        <v>136.0</v>
      </c>
      <c r="C82" s="1">
        <v>1406.0</v>
      </c>
      <c r="D82" s="1">
        <v>413.0</v>
      </c>
      <c r="E82" s="8">
        <v>0.0379558823529411</v>
      </c>
      <c r="F82" s="2">
        <v>406.0</v>
      </c>
      <c r="G82" s="2">
        <v>435.0</v>
      </c>
      <c r="H82" s="3">
        <v>209.451838235294</v>
      </c>
      <c r="I82" s="3">
        <v>123.195130506219</v>
      </c>
      <c r="Q82" s="13"/>
      <c r="R82" s="14"/>
    </row>
    <row r="83">
      <c r="A83" s="1" t="s">
        <v>119</v>
      </c>
      <c r="B83" s="1">
        <v>130.0</v>
      </c>
      <c r="C83" s="1">
        <v>1835.0</v>
      </c>
      <c r="D83" s="1">
        <v>355.0</v>
      </c>
      <c r="E83" s="8">
        <v>0.0391538461538461</v>
      </c>
      <c r="F83" s="2">
        <v>350.0</v>
      </c>
      <c r="G83" s="2">
        <v>376.0</v>
      </c>
      <c r="H83" s="3">
        <v>190.441738461538</v>
      </c>
      <c r="I83" s="3">
        <v>104.802128528263</v>
      </c>
      <c r="Q83" s="13"/>
      <c r="R83" s="14"/>
    </row>
    <row r="84">
      <c r="A84" s="1" t="s">
        <v>120</v>
      </c>
      <c r="B84" s="1">
        <v>77.0</v>
      </c>
      <c r="C84" s="1">
        <v>977.0</v>
      </c>
      <c r="D84" s="1">
        <v>127.0</v>
      </c>
      <c r="E84" s="8">
        <v>0.0397142857142857</v>
      </c>
      <c r="F84" s="2">
        <v>124.0</v>
      </c>
      <c r="G84" s="2">
        <v>138.0</v>
      </c>
      <c r="H84" s="3">
        <v>64.6322857142857</v>
      </c>
      <c r="I84" s="3">
        <v>37.4879171075324</v>
      </c>
      <c r="Q84" s="13"/>
      <c r="R84" s="14"/>
    </row>
    <row r="85">
      <c r="A85" s="1" t="s">
        <v>121</v>
      </c>
      <c r="B85" s="1">
        <v>117.0</v>
      </c>
      <c r="C85" s="1">
        <v>817.0</v>
      </c>
      <c r="D85" s="1">
        <v>144.0</v>
      </c>
      <c r="E85" s="8">
        <v>0.0409230769230769</v>
      </c>
      <c r="F85" s="2">
        <v>141.0</v>
      </c>
      <c r="G85" s="2">
        <v>158.0</v>
      </c>
      <c r="H85" s="3">
        <v>60.1358803418803</v>
      </c>
      <c r="I85" s="3">
        <v>44.9611895102177</v>
      </c>
      <c r="Q85" s="13"/>
      <c r="R85" s="14"/>
    </row>
    <row r="86">
      <c r="A86" s="1" t="s">
        <v>122</v>
      </c>
      <c r="B86" s="1">
        <v>101.0</v>
      </c>
      <c r="C86" s="1">
        <v>1295.0</v>
      </c>
      <c r="D86" s="1">
        <v>260.0</v>
      </c>
      <c r="E86" s="8">
        <v>0.0415841584158415</v>
      </c>
      <c r="F86" s="2">
        <v>256.0</v>
      </c>
      <c r="G86" s="2">
        <v>278.0</v>
      </c>
      <c r="H86" s="3">
        <v>130.692415841584</v>
      </c>
      <c r="I86" s="3">
        <v>77.1377090939491</v>
      </c>
      <c r="Q86" s="13"/>
      <c r="R86" s="14"/>
    </row>
    <row r="87">
      <c r="A87" s="1" t="s">
        <v>123</v>
      </c>
      <c r="B87" s="1">
        <v>117.0</v>
      </c>
      <c r="C87" s="1">
        <v>1156.0</v>
      </c>
      <c r="D87" s="1">
        <v>209.0</v>
      </c>
      <c r="E87" s="8">
        <v>0.0428376068376068</v>
      </c>
      <c r="F87" s="2">
        <v>206.0</v>
      </c>
      <c r="G87" s="2">
        <v>224.0</v>
      </c>
      <c r="H87" s="3">
        <v>114.185863247863</v>
      </c>
      <c r="I87" s="3">
        <v>63.7147765749703</v>
      </c>
      <c r="Q87" s="13"/>
      <c r="R87" s="14"/>
    </row>
    <row r="88">
      <c r="A88" s="1" t="s">
        <v>124</v>
      </c>
      <c r="B88" s="1">
        <v>111.0</v>
      </c>
      <c r="C88" s="1">
        <v>1395.0</v>
      </c>
      <c r="D88" s="1">
        <v>219.0</v>
      </c>
      <c r="E88" s="8">
        <v>0.0429909909909909</v>
      </c>
      <c r="F88" s="2">
        <v>216.0</v>
      </c>
      <c r="G88" s="2">
        <v>235.0</v>
      </c>
      <c r="H88" s="3">
        <v>112.344468468468</v>
      </c>
      <c r="I88" s="3">
        <v>65.391042785762</v>
      </c>
      <c r="Q88" s="13"/>
      <c r="R88" s="14"/>
    </row>
    <row r="89">
      <c r="A89" s="1" t="s">
        <v>125</v>
      </c>
      <c r="B89" s="1">
        <v>96.0</v>
      </c>
      <c r="C89" s="1">
        <v>996.0</v>
      </c>
      <c r="D89" s="1">
        <v>178.0</v>
      </c>
      <c r="E89" s="8">
        <v>0.0430416666666666</v>
      </c>
      <c r="F89" s="2">
        <v>175.0</v>
      </c>
      <c r="G89" s="2">
        <v>193.0</v>
      </c>
      <c r="H89" s="3">
        <v>93.2503958333333</v>
      </c>
      <c r="I89" s="3">
        <v>52.7783173385938</v>
      </c>
      <c r="Q89" s="13"/>
      <c r="R89" s="14"/>
    </row>
    <row r="90">
      <c r="A90" s="1" t="s">
        <v>126</v>
      </c>
      <c r="B90" s="1">
        <v>107.0</v>
      </c>
      <c r="C90" s="1">
        <v>1415.0</v>
      </c>
      <c r="D90" s="1">
        <v>283.0</v>
      </c>
      <c r="E90" s="8">
        <v>0.0431214953271028</v>
      </c>
      <c r="F90" s="2">
        <v>280.0</v>
      </c>
      <c r="G90" s="2">
        <v>301.0</v>
      </c>
      <c r="H90" s="3">
        <v>150.154504672897</v>
      </c>
      <c r="I90" s="3">
        <v>83.0767624835889</v>
      </c>
      <c r="Q90" s="13"/>
      <c r="R90" s="14"/>
    </row>
    <row r="91">
      <c r="A91" s="1" t="s">
        <v>127</v>
      </c>
      <c r="B91" s="1">
        <v>101.0</v>
      </c>
      <c r="C91" s="1">
        <v>1133.0</v>
      </c>
      <c r="D91" s="1">
        <v>231.0</v>
      </c>
      <c r="E91" s="8">
        <v>0.0439009900990099</v>
      </c>
      <c r="F91" s="2">
        <v>229.0</v>
      </c>
      <c r="G91" s="2">
        <v>248.010000000002</v>
      </c>
      <c r="H91" s="3">
        <v>125.289881188118</v>
      </c>
      <c r="I91" s="3">
        <v>70.6181508977933</v>
      </c>
      <c r="Q91" s="13"/>
      <c r="R91" s="14"/>
    </row>
    <row r="92">
      <c r="A92" s="1" t="s">
        <v>128</v>
      </c>
      <c r="B92" s="1">
        <v>114.0</v>
      </c>
      <c r="C92" s="1">
        <v>1786.0</v>
      </c>
      <c r="D92" s="1">
        <v>364.0</v>
      </c>
      <c r="E92" s="8">
        <v>0.0440877192982456</v>
      </c>
      <c r="F92" s="2">
        <v>360.0</v>
      </c>
      <c r="G92" s="2">
        <v>388.0</v>
      </c>
      <c r="H92" s="3">
        <v>179.058614035087</v>
      </c>
      <c r="I92" s="3">
        <v>108.188847819288</v>
      </c>
      <c r="Q92" s="13"/>
      <c r="R92" s="14"/>
    </row>
    <row r="93">
      <c r="A93" s="1" t="s">
        <v>129</v>
      </c>
      <c r="B93" s="1">
        <v>107.0</v>
      </c>
      <c r="C93" s="1">
        <v>816.0</v>
      </c>
      <c r="D93" s="1">
        <v>160.0</v>
      </c>
      <c r="E93" s="8">
        <v>0.0442429906542056</v>
      </c>
      <c r="F93" s="2">
        <v>158.0</v>
      </c>
      <c r="G93" s="2">
        <v>173.0</v>
      </c>
      <c r="H93" s="3">
        <v>86.6953831775701</v>
      </c>
      <c r="I93" s="3">
        <v>47.6668384620306</v>
      </c>
      <c r="Q93" s="13"/>
      <c r="R93" s="14"/>
    </row>
    <row r="94">
      <c r="A94" s="1" t="s">
        <v>130</v>
      </c>
      <c r="B94" s="1">
        <v>109.0</v>
      </c>
      <c r="C94" s="1">
        <v>1080.0</v>
      </c>
      <c r="D94" s="1">
        <v>242.0</v>
      </c>
      <c r="E94" s="8">
        <v>0.0445137614678899</v>
      </c>
      <c r="F94" s="2">
        <v>240.0</v>
      </c>
      <c r="G94" s="2">
        <v>259.0</v>
      </c>
      <c r="H94" s="3">
        <v>128.704165137614</v>
      </c>
      <c r="I94" s="3">
        <v>73.2687729338958</v>
      </c>
      <c r="Q94" s="13"/>
      <c r="R94" s="14"/>
    </row>
    <row r="95">
      <c r="A95" s="1" t="s">
        <v>131</v>
      </c>
      <c r="B95" s="1">
        <v>75.0</v>
      </c>
      <c r="C95" s="1">
        <v>1173.0</v>
      </c>
      <c r="D95" s="1">
        <v>222.0</v>
      </c>
      <c r="E95" s="8">
        <v>0.04496</v>
      </c>
      <c r="F95" s="2">
        <v>220.0</v>
      </c>
      <c r="G95" s="2">
        <v>240.0</v>
      </c>
      <c r="H95" s="3">
        <v>110.089653333333</v>
      </c>
      <c r="I95" s="3">
        <v>69.603252143463</v>
      </c>
      <c r="Q95" s="13"/>
      <c r="R95" s="14"/>
    </row>
    <row r="96">
      <c r="A96" s="1" t="s">
        <v>132</v>
      </c>
      <c r="B96" s="1">
        <v>84.0</v>
      </c>
      <c r="C96" s="1">
        <v>1015.0</v>
      </c>
      <c r="D96" s="1">
        <v>201.0</v>
      </c>
      <c r="E96" s="8">
        <v>0.0453333333333333</v>
      </c>
      <c r="F96" s="2">
        <v>199.0</v>
      </c>
      <c r="G96" s="2">
        <v>216.0</v>
      </c>
      <c r="H96" s="3">
        <v>107.951904761904</v>
      </c>
      <c r="I96" s="3">
        <v>60.6724368359305</v>
      </c>
      <c r="Q96" s="13"/>
      <c r="R96" s="14"/>
    </row>
    <row r="97">
      <c r="A97" s="1" t="s">
        <v>133</v>
      </c>
      <c r="B97" s="1">
        <v>76.0</v>
      </c>
      <c r="C97" s="1">
        <v>1463.0</v>
      </c>
      <c r="D97" s="1">
        <v>296.0</v>
      </c>
      <c r="E97" s="8">
        <v>0.0457105263157894</v>
      </c>
      <c r="F97" s="2">
        <v>294.0</v>
      </c>
      <c r="G97" s="2">
        <v>317.0</v>
      </c>
      <c r="H97" s="3">
        <v>160.644421052631</v>
      </c>
      <c r="I97" s="3">
        <v>85.9599339682314</v>
      </c>
      <c r="Q97" s="13"/>
      <c r="R97" s="14"/>
    </row>
    <row r="98">
      <c r="A98" s="1" t="s">
        <v>134</v>
      </c>
      <c r="B98" s="1">
        <v>113.0</v>
      </c>
      <c r="C98" s="1">
        <v>1205.0</v>
      </c>
      <c r="D98" s="1">
        <v>196.0</v>
      </c>
      <c r="E98" s="8">
        <v>0.0460176991150442</v>
      </c>
      <c r="F98" s="2">
        <v>194.0</v>
      </c>
      <c r="G98" s="2">
        <v>212.0</v>
      </c>
      <c r="H98" s="3">
        <v>102.549008849557</v>
      </c>
      <c r="I98" s="3">
        <v>59.8483678804666</v>
      </c>
      <c r="Q98" s="13"/>
      <c r="R98" s="14"/>
    </row>
    <row r="99">
      <c r="A99" s="1" t="s">
        <v>135</v>
      </c>
      <c r="B99" s="1">
        <v>112.0</v>
      </c>
      <c r="C99" s="1">
        <v>1304.0</v>
      </c>
      <c r="D99" s="1">
        <v>231.0</v>
      </c>
      <c r="E99" s="8">
        <v>0.0465535714285714</v>
      </c>
      <c r="F99" s="2">
        <v>229.0</v>
      </c>
      <c r="G99" s="2">
        <v>250.0</v>
      </c>
      <c r="H99" s="3">
        <v>124.728071428571</v>
      </c>
      <c r="I99" s="3">
        <v>68.7486151901718</v>
      </c>
      <c r="Q99" s="13"/>
      <c r="R99" s="14"/>
    </row>
    <row r="100">
      <c r="A100" s="1" t="s">
        <v>136</v>
      </c>
      <c r="B100" s="1">
        <v>110.0</v>
      </c>
      <c r="C100" s="1">
        <v>1448.0</v>
      </c>
      <c r="D100" s="1">
        <v>335.0</v>
      </c>
      <c r="E100" s="8">
        <v>0.0466545454545454</v>
      </c>
      <c r="F100" s="2">
        <v>333.0</v>
      </c>
      <c r="G100" s="2">
        <v>358.0</v>
      </c>
      <c r="H100" s="3">
        <v>177.26589090909</v>
      </c>
      <c r="I100" s="3">
        <v>102.03999426351</v>
      </c>
      <c r="Q100" s="13"/>
      <c r="R100" s="14"/>
    </row>
    <row r="101">
      <c r="A101" s="1" t="s">
        <v>137</v>
      </c>
      <c r="B101" s="1">
        <v>126.0</v>
      </c>
      <c r="C101" s="1">
        <v>1040.0</v>
      </c>
      <c r="D101" s="1">
        <v>176.0</v>
      </c>
      <c r="E101" s="8">
        <v>0.047063492063492</v>
      </c>
      <c r="F101" s="2">
        <v>175.0</v>
      </c>
      <c r="G101" s="2">
        <v>190.0</v>
      </c>
      <c r="H101" s="3">
        <v>102.459698412698</v>
      </c>
      <c r="I101" s="3">
        <v>51.6579307014275</v>
      </c>
      <c r="Q101" s="13"/>
      <c r="R101" s="14"/>
    </row>
    <row r="102">
      <c r="A102" s="1" t="s">
        <v>138</v>
      </c>
      <c r="B102" s="1">
        <v>64.0</v>
      </c>
      <c r="C102" s="1">
        <v>1189.0</v>
      </c>
      <c r="D102" s="1">
        <v>288.0</v>
      </c>
      <c r="E102" s="8">
        <v>0.04753125</v>
      </c>
      <c r="F102" s="2">
        <v>287.0</v>
      </c>
      <c r="G102" s="2">
        <v>307.0</v>
      </c>
      <c r="H102" s="3">
        <v>157.8830625</v>
      </c>
      <c r="I102" s="3">
        <v>85.9665582544811</v>
      </c>
      <c r="Q102" s="13"/>
      <c r="R102" s="14"/>
    </row>
    <row r="103">
      <c r="A103" s="1" t="s">
        <v>139</v>
      </c>
      <c r="B103" s="1">
        <v>98.0</v>
      </c>
      <c r="C103" s="1">
        <v>1270.0</v>
      </c>
      <c r="D103" s="1">
        <v>278.0</v>
      </c>
      <c r="E103" s="8">
        <v>0.0483061224489795</v>
      </c>
      <c r="F103" s="2">
        <v>277.0</v>
      </c>
      <c r="G103" s="2">
        <v>298.0</v>
      </c>
      <c r="H103" s="3">
        <v>150.680285714285</v>
      </c>
      <c r="I103" s="3">
        <v>84.6579443282055</v>
      </c>
      <c r="Q103" s="13"/>
      <c r="R103" s="14"/>
    </row>
    <row r="104">
      <c r="A104" s="1" t="s">
        <v>140</v>
      </c>
      <c r="B104" s="1">
        <v>93.0</v>
      </c>
      <c r="C104" s="1">
        <v>1043.0</v>
      </c>
      <c r="D104" s="1">
        <v>168.0</v>
      </c>
      <c r="E104" s="8">
        <v>0.0484086021505376</v>
      </c>
      <c r="F104" s="2">
        <v>167.0</v>
      </c>
      <c r="G104" s="2">
        <v>185.0</v>
      </c>
      <c r="H104" s="3">
        <v>89.0275268817204</v>
      </c>
      <c r="I104" s="3">
        <v>49.716164430813</v>
      </c>
      <c r="Q104" s="13"/>
      <c r="R104" s="14"/>
    </row>
    <row r="105">
      <c r="A105" s="1" t="s">
        <v>141</v>
      </c>
      <c r="B105" s="1">
        <v>88.0</v>
      </c>
      <c r="C105" s="1">
        <v>876.0</v>
      </c>
      <c r="D105" s="1">
        <v>153.0</v>
      </c>
      <c r="E105" s="8">
        <v>0.0484772727272727</v>
      </c>
      <c r="F105" s="2">
        <v>152.0</v>
      </c>
      <c r="G105" s="2">
        <v>166.0</v>
      </c>
      <c r="H105" s="3">
        <v>84.0480454545454</v>
      </c>
      <c r="I105" s="3">
        <v>45.9315375986886</v>
      </c>
      <c r="Q105" s="13"/>
      <c r="R105" s="14"/>
    </row>
    <row r="106">
      <c r="A106" s="1" t="s">
        <v>142</v>
      </c>
      <c r="B106" s="1">
        <v>92.0</v>
      </c>
      <c r="C106" s="1">
        <v>1467.0</v>
      </c>
      <c r="D106" s="1">
        <v>314.0</v>
      </c>
      <c r="E106" s="8">
        <v>0.0491739130434782</v>
      </c>
      <c r="F106" s="2">
        <v>313.0</v>
      </c>
      <c r="G106" s="2">
        <v>336.0</v>
      </c>
      <c r="H106" s="3">
        <v>162.923130434782</v>
      </c>
      <c r="I106" s="3">
        <v>96.1151700677728</v>
      </c>
      <c r="Q106" s="13"/>
      <c r="R106" s="14"/>
    </row>
    <row r="107">
      <c r="A107" s="1" t="s">
        <v>143</v>
      </c>
      <c r="B107" s="1">
        <v>107.0</v>
      </c>
      <c r="C107" s="1">
        <v>864.0</v>
      </c>
      <c r="D107" s="1">
        <v>135.0</v>
      </c>
      <c r="E107" s="8">
        <v>0.0502056074766355</v>
      </c>
      <c r="F107" s="2">
        <v>135.0</v>
      </c>
      <c r="G107" s="2">
        <v>147.0</v>
      </c>
      <c r="H107" s="3">
        <v>75.1771401869158</v>
      </c>
      <c r="I107" s="3">
        <v>37.584865278323</v>
      </c>
      <c r="Q107" s="13"/>
      <c r="R107" s="14"/>
    </row>
    <row r="108">
      <c r="A108" s="1" t="s">
        <v>144</v>
      </c>
      <c r="B108" s="1">
        <v>142.0</v>
      </c>
      <c r="C108" s="1">
        <v>1272.0</v>
      </c>
      <c r="D108" s="1">
        <v>221.0</v>
      </c>
      <c r="E108" s="8">
        <v>0.0505774647887323</v>
      </c>
      <c r="F108" s="2">
        <v>221.0</v>
      </c>
      <c r="G108" s="2">
        <v>238.0</v>
      </c>
      <c r="H108" s="3">
        <v>114.869</v>
      </c>
      <c r="I108" s="3">
        <v>68.4004641868155</v>
      </c>
      <c r="Q108" s="13"/>
      <c r="R108" s="14"/>
    </row>
    <row r="109">
      <c r="A109" s="1" t="s">
        <v>145</v>
      </c>
      <c r="B109" s="1">
        <v>94.0</v>
      </c>
      <c r="C109" s="1">
        <v>1393.0</v>
      </c>
      <c r="D109" s="1">
        <v>239.0</v>
      </c>
      <c r="E109" s="8">
        <v>0.0506170212765957</v>
      </c>
      <c r="F109" s="2">
        <v>239.0</v>
      </c>
      <c r="G109" s="2">
        <v>259.0</v>
      </c>
      <c r="H109" s="3">
        <v>123.685106382978</v>
      </c>
      <c r="I109" s="3">
        <v>70.9342805782852</v>
      </c>
      <c r="Q109" s="13"/>
      <c r="R109" s="14"/>
    </row>
    <row r="110">
      <c r="A110" s="1" t="s">
        <v>146</v>
      </c>
      <c r="B110" s="1">
        <v>65.0</v>
      </c>
      <c r="C110" s="1">
        <v>1301.0</v>
      </c>
      <c r="D110" s="1">
        <v>256.0</v>
      </c>
      <c r="E110" s="8">
        <v>0.0507692307692307</v>
      </c>
      <c r="F110" s="2">
        <v>256.0</v>
      </c>
      <c r="G110" s="2">
        <v>279.0</v>
      </c>
      <c r="H110" s="3">
        <v>133.889907692307</v>
      </c>
      <c r="I110" s="3">
        <v>76.8254248960135</v>
      </c>
      <c r="Q110" s="13"/>
      <c r="R110" s="14"/>
    </row>
    <row r="111">
      <c r="A111" s="1" t="s">
        <v>147</v>
      </c>
      <c r="B111" s="1">
        <v>52.0</v>
      </c>
      <c r="C111" s="1">
        <v>603.0</v>
      </c>
      <c r="D111" s="1">
        <v>103.0</v>
      </c>
      <c r="E111" s="8">
        <v>0.0516923076923076</v>
      </c>
      <c r="F111" s="2">
        <v>103.0</v>
      </c>
      <c r="G111" s="2">
        <v>115.0</v>
      </c>
      <c r="H111" s="3">
        <v>54.8738076923076</v>
      </c>
      <c r="I111" s="3">
        <v>30.2630359470468</v>
      </c>
      <c r="Q111" s="13"/>
      <c r="R111" s="14"/>
    </row>
    <row r="112">
      <c r="A112" s="1" t="s">
        <v>148</v>
      </c>
      <c r="B112" s="1">
        <v>110.0</v>
      </c>
      <c r="C112" s="1">
        <v>1291.0</v>
      </c>
      <c r="D112" s="1">
        <v>224.0</v>
      </c>
      <c r="E112" s="8">
        <v>0.0521636363636363</v>
      </c>
      <c r="F112" s="2">
        <v>224.0</v>
      </c>
      <c r="G112" s="2">
        <v>245.0</v>
      </c>
      <c r="H112" s="3">
        <v>113.576563636363</v>
      </c>
      <c r="I112" s="3">
        <v>67.9367750981518</v>
      </c>
      <c r="Q112" s="13"/>
      <c r="R112" s="14"/>
    </row>
    <row r="113">
      <c r="A113" s="1" t="s">
        <v>149</v>
      </c>
      <c r="B113" s="1">
        <v>77.0</v>
      </c>
      <c r="C113" s="1">
        <v>1134.0</v>
      </c>
      <c r="D113" s="1">
        <v>184.0</v>
      </c>
      <c r="E113" s="8">
        <v>0.0522077922077922</v>
      </c>
      <c r="F113" s="2">
        <v>184.0</v>
      </c>
      <c r="G113" s="2">
        <v>201.0</v>
      </c>
      <c r="H113" s="3">
        <v>97.3904155844155</v>
      </c>
      <c r="I113" s="3">
        <v>56.3082648689742</v>
      </c>
      <c r="Q113" s="13"/>
      <c r="R113" s="14"/>
    </row>
    <row r="114">
      <c r="A114" s="1" t="s">
        <v>150</v>
      </c>
      <c r="B114" s="1">
        <v>81.0</v>
      </c>
      <c r="C114" s="1">
        <v>783.0</v>
      </c>
      <c r="D114" s="1">
        <v>119.0</v>
      </c>
      <c r="E114" s="8">
        <v>0.0534814814814814</v>
      </c>
      <c r="F114" s="2">
        <v>119.0</v>
      </c>
      <c r="G114" s="2">
        <v>133.0</v>
      </c>
      <c r="H114" s="3">
        <v>60.7115061728395</v>
      </c>
      <c r="I114" s="3">
        <v>35.502693772992</v>
      </c>
      <c r="Q114" s="13"/>
      <c r="R114" s="14"/>
    </row>
    <row r="115">
      <c r="A115" s="1" t="s">
        <v>151</v>
      </c>
      <c r="B115" s="1">
        <v>78.0</v>
      </c>
      <c r="C115" s="1">
        <v>927.0</v>
      </c>
      <c r="D115" s="1">
        <v>149.0</v>
      </c>
      <c r="E115" s="8">
        <v>0.0537435897435897</v>
      </c>
      <c r="F115" s="2">
        <v>149.0</v>
      </c>
      <c r="G115" s="2">
        <v>165.0</v>
      </c>
      <c r="H115" s="3">
        <v>79.6088717948717</v>
      </c>
      <c r="I115" s="3">
        <v>44.4964313551383</v>
      </c>
      <c r="Q115" s="13"/>
      <c r="R115" s="14"/>
    </row>
    <row r="116">
      <c r="A116" s="1" t="s">
        <v>152</v>
      </c>
      <c r="B116" s="1">
        <v>91.0</v>
      </c>
      <c r="C116" s="1">
        <v>949.0</v>
      </c>
      <c r="D116" s="1">
        <v>149.0</v>
      </c>
      <c r="E116" s="8">
        <v>0.0541318681318681</v>
      </c>
      <c r="F116" s="2">
        <v>150.0</v>
      </c>
      <c r="G116" s="2">
        <v>165.0</v>
      </c>
      <c r="H116" s="3">
        <v>77.0869010989011</v>
      </c>
      <c r="I116" s="3">
        <v>44.7858912225112</v>
      </c>
      <c r="Q116" s="13"/>
      <c r="R116" s="14"/>
    </row>
    <row r="117">
      <c r="A117" s="1" t="s">
        <v>153</v>
      </c>
      <c r="B117" s="1">
        <v>113.0</v>
      </c>
      <c r="C117" s="1">
        <v>888.0</v>
      </c>
      <c r="D117" s="1">
        <v>116.0</v>
      </c>
      <c r="E117" s="8">
        <v>0.0544070796460177</v>
      </c>
      <c r="F117" s="2">
        <v>116.0</v>
      </c>
      <c r="G117" s="2">
        <v>127.0</v>
      </c>
      <c r="H117" s="3">
        <v>67.41203539823</v>
      </c>
      <c r="I117" s="3">
        <v>34.1275265370722</v>
      </c>
      <c r="Q117" s="13"/>
      <c r="R117" s="14"/>
    </row>
    <row r="118">
      <c r="A118" s="1" t="s">
        <v>154</v>
      </c>
      <c r="B118" s="1">
        <v>132.0</v>
      </c>
      <c r="C118" s="1">
        <v>920.0</v>
      </c>
      <c r="D118" s="1">
        <v>163.0</v>
      </c>
      <c r="E118" s="8">
        <v>0.0545</v>
      </c>
      <c r="F118" s="2">
        <v>164.0</v>
      </c>
      <c r="G118" s="2">
        <v>182.0</v>
      </c>
      <c r="H118" s="3">
        <v>79.2908333333333</v>
      </c>
      <c r="I118" s="3">
        <v>51.3506496453796</v>
      </c>
      <c r="Q118" s="13"/>
      <c r="R118" s="14"/>
    </row>
    <row r="119">
      <c r="A119" s="1" t="s">
        <v>155</v>
      </c>
      <c r="B119" s="1">
        <v>136.0</v>
      </c>
      <c r="C119" s="1">
        <v>1113.0</v>
      </c>
      <c r="D119" s="1">
        <v>238.0</v>
      </c>
      <c r="E119" s="8">
        <v>0.0551617647058823</v>
      </c>
      <c r="F119" s="2">
        <v>239.0</v>
      </c>
      <c r="G119" s="2">
        <v>258.0</v>
      </c>
      <c r="H119" s="3">
        <v>120.141132352941</v>
      </c>
      <c r="I119" s="3">
        <v>74.0713202171918</v>
      </c>
      <c r="Q119" s="13"/>
      <c r="R119" s="14"/>
    </row>
    <row r="120">
      <c r="A120" s="1" t="s">
        <v>156</v>
      </c>
      <c r="B120" s="1">
        <v>88.0</v>
      </c>
      <c r="C120" s="1">
        <v>808.0</v>
      </c>
      <c r="D120" s="1">
        <v>144.0</v>
      </c>
      <c r="E120" s="8">
        <v>0.0576136363636363</v>
      </c>
      <c r="F120" s="2">
        <v>145.0</v>
      </c>
      <c r="G120" s="2">
        <v>160.0</v>
      </c>
      <c r="H120" s="3">
        <v>72.0844772727272</v>
      </c>
      <c r="I120" s="3">
        <v>44.2280328108504</v>
      </c>
      <c r="Q120" s="13"/>
      <c r="R120" s="14"/>
    </row>
    <row r="121">
      <c r="A121" s="1" t="s">
        <v>157</v>
      </c>
      <c r="B121" s="1">
        <v>125.0</v>
      </c>
      <c r="C121" s="1">
        <v>1074.0</v>
      </c>
      <c r="D121" s="1">
        <v>207.0</v>
      </c>
      <c r="E121" s="8">
        <v>0.05816</v>
      </c>
      <c r="F121" s="2">
        <v>209.0</v>
      </c>
      <c r="G121" s="2">
        <v>227.0</v>
      </c>
      <c r="H121" s="3">
        <v>109.400416</v>
      </c>
      <c r="I121" s="3">
        <v>65.2993058694113</v>
      </c>
      <c r="Q121" s="13"/>
      <c r="R121" s="14"/>
    </row>
    <row r="122">
      <c r="A122" s="1" t="s">
        <v>158</v>
      </c>
      <c r="B122" s="1">
        <v>140.0</v>
      </c>
      <c r="C122" s="1">
        <v>1266.0</v>
      </c>
      <c r="D122" s="1">
        <v>210.0</v>
      </c>
      <c r="E122" s="8">
        <v>0.0588857142857142</v>
      </c>
      <c r="F122" s="2">
        <v>212.0</v>
      </c>
      <c r="G122" s="2">
        <v>229.0</v>
      </c>
      <c r="H122" s="3">
        <v>114.741057142857</v>
      </c>
      <c r="I122" s="3">
        <v>64.8140591452383</v>
      </c>
      <c r="Q122" s="13"/>
      <c r="R122" s="14"/>
    </row>
    <row r="123">
      <c r="A123" s="1" t="s">
        <v>159</v>
      </c>
      <c r="B123" s="1">
        <v>130.0</v>
      </c>
      <c r="C123" s="1">
        <v>926.0</v>
      </c>
      <c r="D123" s="1">
        <v>148.0</v>
      </c>
      <c r="E123" s="8">
        <v>0.059</v>
      </c>
      <c r="F123" s="2">
        <v>150.0</v>
      </c>
      <c r="G123" s="2">
        <v>163.0</v>
      </c>
      <c r="H123" s="3">
        <v>78.1676153846153</v>
      </c>
      <c r="I123" s="3">
        <v>46.5553128142931</v>
      </c>
      <c r="Q123" s="13"/>
      <c r="R123" s="14"/>
    </row>
    <row r="124">
      <c r="A124" s="1" t="s">
        <v>160</v>
      </c>
      <c r="B124" s="1">
        <v>121.0</v>
      </c>
      <c r="C124" s="1">
        <v>991.0</v>
      </c>
      <c r="D124" s="1">
        <v>161.0</v>
      </c>
      <c r="E124" s="8">
        <v>0.0595537190082644</v>
      </c>
      <c r="F124" s="2">
        <v>163.0</v>
      </c>
      <c r="G124" s="2">
        <v>180.0</v>
      </c>
      <c r="H124" s="3">
        <v>84.1916528925619</v>
      </c>
      <c r="I124" s="3">
        <v>49.3869887480348</v>
      </c>
      <c r="Q124" s="13"/>
      <c r="R124" s="14"/>
    </row>
    <row r="125">
      <c r="A125" s="1" t="s">
        <v>161</v>
      </c>
      <c r="B125" s="1">
        <v>105.0</v>
      </c>
      <c r="C125" s="1">
        <v>921.0</v>
      </c>
      <c r="D125" s="1">
        <v>151.0</v>
      </c>
      <c r="E125" s="8">
        <v>0.0596571428571428</v>
      </c>
      <c r="F125" s="2">
        <v>153.0</v>
      </c>
      <c r="G125" s="2">
        <v>167.0</v>
      </c>
      <c r="H125" s="3">
        <v>81.9597523809523</v>
      </c>
      <c r="I125" s="3">
        <v>45.8310395873033</v>
      </c>
      <c r="Q125" s="13"/>
      <c r="R125" s="14"/>
    </row>
    <row r="126">
      <c r="A126" s="1" t="s">
        <v>162</v>
      </c>
      <c r="B126" s="1">
        <v>62.0</v>
      </c>
      <c r="C126" s="1">
        <v>1127.0</v>
      </c>
      <c r="D126" s="1">
        <v>184.0</v>
      </c>
      <c r="E126" s="8">
        <v>0.0619354838709677</v>
      </c>
      <c r="F126" s="2">
        <v>187.0</v>
      </c>
      <c r="G126" s="2">
        <v>208.0</v>
      </c>
      <c r="H126" s="3">
        <v>97.1203870967742</v>
      </c>
      <c r="I126" s="3">
        <v>56.8481533491194</v>
      </c>
      <c r="Q126" s="13"/>
      <c r="R126" s="14"/>
    </row>
    <row r="127">
      <c r="A127" s="1" t="s">
        <v>163</v>
      </c>
      <c r="B127" s="1">
        <v>134.0</v>
      </c>
      <c r="C127" s="1">
        <v>978.0</v>
      </c>
      <c r="D127" s="1">
        <v>145.0</v>
      </c>
      <c r="E127" s="8">
        <v>0.0625074626865671</v>
      </c>
      <c r="F127" s="2">
        <v>148.0</v>
      </c>
      <c r="G127" s="2">
        <v>164.0</v>
      </c>
      <c r="H127" s="3">
        <v>64.0231044776119</v>
      </c>
      <c r="I127" s="3">
        <v>46.4058096327997</v>
      </c>
      <c r="Q127" s="13"/>
      <c r="R127" s="14"/>
    </row>
    <row r="128">
      <c r="A128" s="1" t="s">
        <v>164</v>
      </c>
      <c r="B128" s="1">
        <v>106.0</v>
      </c>
      <c r="C128" s="1">
        <v>1328.0</v>
      </c>
      <c r="D128" s="1">
        <v>277.0</v>
      </c>
      <c r="E128" s="8">
        <v>0.0632641509433962</v>
      </c>
      <c r="F128" s="2">
        <v>282.0</v>
      </c>
      <c r="G128" s="2">
        <v>307.0</v>
      </c>
      <c r="H128" s="3">
        <v>143.33937735849</v>
      </c>
      <c r="I128" s="3">
        <v>87.583919069726</v>
      </c>
      <c r="Q128" s="13"/>
      <c r="R128" s="14"/>
    </row>
    <row r="129">
      <c r="A129" s="1" t="s">
        <v>165</v>
      </c>
      <c r="B129" s="1">
        <v>122.0</v>
      </c>
      <c r="C129" s="1">
        <v>1782.0</v>
      </c>
      <c r="D129" s="1">
        <v>350.0</v>
      </c>
      <c r="E129" s="8">
        <v>0.063655737704918</v>
      </c>
      <c r="F129" s="2">
        <v>356.0</v>
      </c>
      <c r="G129" s="2">
        <v>384.0</v>
      </c>
      <c r="H129" s="3">
        <v>185.419983606557</v>
      </c>
      <c r="I129" s="3">
        <v>108.390391371371</v>
      </c>
      <c r="Q129" s="13"/>
      <c r="R129" s="14"/>
    </row>
    <row r="130">
      <c r="A130" s="1" t="s">
        <v>166</v>
      </c>
      <c r="B130" s="1">
        <v>129.0</v>
      </c>
      <c r="C130" s="1">
        <v>1420.0</v>
      </c>
      <c r="D130" s="1">
        <v>333.0</v>
      </c>
      <c r="E130" s="8">
        <v>0.0637054263565891</v>
      </c>
      <c r="F130" s="2">
        <v>338.0</v>
      </c>
      <c r="G130" s="2">
        <v>364.0</v>
      </c>
      <c r="H130" s="3">
        <v>168.00472868217</v>
      </c>
      <c r="I130" s="3">
        <v>103.916616957853</v>
      </c>
      <c r="Q130" s="13"/>
      <c r="R130" s="14"/>
    </row>
    <row r="131">
      <c r="A131" s="1" t="s">
        <v>167</v>
      </c>
      <c r="B131" s="1">
        <v>107.0</v>
      </c>
      <c r="C131" s="1">
        <v>1301.0</v>
      </c>
      <c r="D131" s="1">
        <v>228.0</v>
      </c>
      <c r="E131" s="8">
        <v>0.0642056074766355</v>
      </c>
      <c r="F131" s="2">
        <v>232.0</v>
      </c>
      <c r="G131" s="2">
        <v>251.0</v>
      </c>
      <c r="H131" s="3">
        <v>123.234691588785</v>
      </c>
      <c r="I131" s="3">
        <v>69.711277089887</v>
      </c>
      <c r="Q131" s="13"/>
      <c r="R131" s="14"/>
    </row>
    <row r="132">
      <c r="A132" s="1" t="s">
        <v>168</v>
      </c>
      <c r="B132" s="1">
        <v>71.0</v>
      </c>
      <c r="C132" s="1">
        <v>1154.0</v>
      </c>
      <c r="D132" s="1">
        <v>286.0</v>
      </c>
      <c r="E132" s="8">
        <v>0.0656338028169014</v>
      </c>
      <c r="F132" s="2">
        <v>291.0</v>
      </c>
      <c r="G132" s="2">
        <v>315.0</v>
      </c>
      <c r="H132" s="3">
        <v>153.365746478873</v>
      </c>
      <c r="I132" s="3">
        <v>88.3005886040577</v>
      </c>
      <c r="Q132" s="13"/>
      <c r="R132" s="14"/>
    </row>
    <row r="133">
      <c r="A133" s="1" t="s">
        <v>169</v>
      </c>
      <c r="B133" s="1">
        <v>114.0</v>
      </c>
      <c r="C133" s="1">
        <v>818.0</v>
      </c>
      <c r="D133" s="1">
        <v>132.0</v>
      </c>
      <c r="E133" s="8">
        <v>0.0682280701754386</v>
      </c>
      <c r="F133" s="2">
        <v>136.0</v>
      </c>
      <c r="G133" s="2">
        <v>151.0</v>
      </c>
      <c r="H133" s="3">
        <v>65.0318245614035</v>
      </c>
      <c r="I133" s="3">
        <v>41.772649549139</v>
      </c>
      <c r="Q133" s="13"/>
      <c r="R133" s="14"/>
    </row>
    <row r="134">
      <c r="A134" s="1" t="s">
        <v>170</v>
      </c>
      <c r="B134" s="1">
        <v>98.0</v>
      </c>
      <c r="C134" s="1">
        <v>1167.0</v>
      </c>
      <c r="D134" s="1">
        <v>208.0</v>
      </c>
      <c r="E134" s="8">
        <v>0.0694897959183673</v>
      </c>
      <c r="F134" s="2">
        <v>213.0</v>
      </c>
      <c r="G134" s="2">
        <v>232.0</v>
      </c>
      <c r="H134" s="3">
        <v>111.894183673469</v>
      </c>
      <c r="I134" s="3">
        <v>64.086001900881</v>
      </c>
      <c r="Q134" s="13"/>
      <c r="R134" s="14"/>
    </row>
    <row r="135">
      <c r="A135" s="1" t="s">
        <v>171</v>
      </c>
      <c r="B135" s="1">
        <v>95.0</v>
      </c>
      <c r="C135" s="1">
        <v>835.0</v>
      </c>
      <c r="D135" s="1">
        <v>125.0</v>
      </c>
      <c r="E135" s="8">
        <v>0.0697052631578947</v>
      </c>
      <c r="F135" s="2">
        <v>128.0</v>
      </c>
      <c r="G135" s="2">
        <v>141.0</v>
      </c>
      <c r="H135" s="3">
        <v>70.3896631578947</v>
      </c>
      <c r="I135" s="3">
        <v>38.1642408337026</v>
      </c>
      <c r="Q135" s="13"/>
      <c r="R135" s="14"/>
    </row>
    <row r="136">
      <c r="A136" s="1" t="s">
        <v>172</v>
      </c>
      <c r="B136" s="1">
        <v>95.0</v>
      </c>
      <c r="C136" s="1">
        <v>1032.0</v>
      </c>
      <c r="D136" s="1">
        <v>260.0</v>
      </c>
      <c r="E136" s="8">
        <v>0.0697473684210526</v>
      </c>
      <c r="F136" s="2">
        <v>264.0</v>
      </c>
      <c r="G136" s="2">
        <v>283.0</v>
      </c>
      <c r="H136" s="3">
        <v>159.173010526315</v>
      </c>
      <c r="I136" s="3">
        <v>79.8614906473102</v>
      </c>
      <c r="Q136" s="13"/>
      <c r="R136" s="14"/>
    </row>
    <row r="137">
      <c r="A137" s="1" t="s">
        <v>173</v>
      </c>
      <c r="B137" s="1">
        <v>107.0</v>
      </c>
      <c r="C137" s="1">
        <v>1485.0</v>
      </c>
      <c r="D137" s="1">
        <v>319.0</v>
      </c>
      <c r="E137" s="8">
        <v>0.0716448598130841</v>
      </c>
      <c r="F137" s="2">
        <v>328.0</v>
      </c>
      <c r="G137" s="2">
        <v>353.0</v>
      </c>
      <c r="H137" s="3">
        <v>178.036990654205</v>
      </c>
      <c r="I137" s="3">
        <v>95.8594874906593</v>
      </c>
      <c r="Q137" s="13"/>
      <c r="R137" s="14"/>
    </row>
    <row r="138">
      <c r="A138" s="1" t="s">
        <v>174</v>
      </c>
      <c r="B138" s="1">
        <v>91.0</v>
      </c>
      <c r="C138" s="1">
        <v>1222.0</v>
      </c>
      <c r="D138" s="1">
        <v>183.0</v>
      </c>
      <c r="E138" s="8">
        <v>0.0738021978021978</v>
      </c>
      <c r="F138" s="2">
        <v>189.0</v>
      </c>
      <c r="G138" s="2">
        <v>208.0</v>
      </c>
      <c r="H138" s="3">
        <v>93.0866593406593</v>
      </c>
      <c r="I138" s="3">
        <v>57.9478980271335</v>
      </c>
      <c r="Q138" s="13"/>
      <c r="R138" s="14"/>
    </row>
    <row r="139">
      <c r="A139" s="1" t="s">
        <v>175</v>
      </c>
      <c r="B139" s="1">
        <v>91.0</v>
      </c>
      <c r="C139" s="1">
        <v>1398.0</v>
      </c>
      <c r="D139" s="1">
        <v>257.0</v>
      </c>
      <c r="E139" s="8">
        <v>0.075076923076923</v>
      </c>
      <c r="F139" s="2">
        <v>265.0</v>
      </c>
      <c r="G139" s="2">
        <v>286.0</v>
      </c>
      <c r="H139" s="3">
        <v>139.52189010989</v>
      </c>
      <c r="I139" s="3">
        <v>78.8361195176634</v>
      </c>
      <c r="Q139" s="13"/>
      <c r="R139" s="14"/>
    </row>
    <row r="140">
      <c r="A140" s="1" t="s">
        <v>176</v>
      </c>
      <c r="B140" s="1">
        <v>115.0</v>
      </c>
      <c r="C140" s="1">
        <v>1393.0</v>
      </c>
      <c r="D140" s="1">
        <v>251.0</v>
      </c>
      <c r="E140" s="8">
        <v>0.075895652173913</v>
      </c>
      <c r="F140" s="2">
        <v>258.0</v>
      </c>
      <c r="G140" s="2">
        <v>279.0</v>
      </c>
      <c r="H140" s="3">
        <v>140.568904347826</v>
      </c>
      <c r="I140" s="3">
        <v>78.5602769410878</v>
      </c>
      <c r="Q140" s="13"/>
      <c r="R140" s="14"/>
    </row>
    <row r="141">
      <c r="A141" s="1" t="s">
        <v>177</v>
      </c>
      <c r="B141" s="1">
        <v>107.0</v>
      </c>
      <c r="C141" s="1">
        <v>1579.0</v>
      </c>
      <c r="D141" s="1">
        <v>279.0</v>
      </c>
      <c r="E141" s="8">
        <v>0.0817196261682243</v>
      </c>
      <c r="F141" s="2">
        <v>289.0</v>
      </c>
      <c r="G141" s="2">
        <v>310.0</v>
      </c>
      <c r="H141" s="3">
        <v>162.399102803738</v>
      </c>
      <c r="I141" s="3">
        <v>86.7512779788905</v>
      </c>
      <c r="Q141" s="13"/>
      <c r="R141" s="14"/>
    </row>
    <row r="142">
      <c r="A142" s="1" t="s">
        <v>178</v>
      </c>
      <c r="B142" s="1">
        <v>94.0</v>
      </c>
      <c r="C142" s="1">
        <v>1583.0</v>
      </c>
      <c r="D142" s="1">
        <v>238.0</v>
      </c>
      <c r="E142" s="8">
        <v>0.082</v>
      </c>
      <c r="F142" s="2">
        <v>248.0</v>
      </c>
      <c r="G142" s="2">
        <v>269.0</v>
      </c>
      <c r="H142" s="3">
        <v>127.729893617021</v>
      </c>
      <c r="I142" s="3">
        <v>76.1771731039971</v>
      </c>
      <c r="Q142" s="13"/>
      <c r="R142" s="14"/>
    </row>
    <row r="143">
      <c r="A143" s="1" t="s">
        <v>179</v>
      </c>
      <c r="B143" s="1">
        <v>119.0</v>
      </c>
      <c r="C143" s="1">
        <v>1445.0</v>
      </c>
      <c r="D143" s="1">
        <v>220.0</v>
      </c>
      <c r="E143" s="8">
        <v>0.0834117647058823</v>
      </c>
      <c r="F143" s="2">
        <v>231.0</v>
      </c>
      <c r="G143" s="2">
        <v>254.0</v>
      </c>
      <c r="H143" s="3">
        <v>115.094268907563</v>
      </c>
      <c r="I143" s="3">
        <v>69.9182627524042</v>
      </c>
      <c r="Q143" s="13"/>
      <c r="R143" s="14"/>
    </row>
    <row r="144">
      <c r="A144" s="1" t="s">
        <v>180</v>
      </c>
      <c r="B144" s="1">
        <v>95.0</v>
      </c>
      <c r="C144" s="1">
        <v>804.0</v>
      </c>
      <c r="D144" s="1">
        <v>105.0</v>
      </c>
      <c r="E144" s="8">
        <v>0.0864842105263157</v>
      </c>
      <c r="F144" s="2">
        <v>109.0</v>
      </c>
      <c r="G144" s="2">
        <v>120.0</v>
      </c>
      <c r="H144" s="3">
        <v>61.743747368421</v>
      </c>
      <c r="I144" s="3">
        <v>33.3706321858538</v>
      </c>
      <c r="Q144" s="13"/>
      <c r="R144" s="14"/>
    </row>
    <row r="145">
      <c r="A145" s="1" t="s">
        <v>181</v>
      </c>
      <c r="B145" s="1">
        <v>105.0</v>
      </c>
      <c r="C145" s="1">
        <v>1737.0</v>
      </c>
      <c r="D145" s="1">
        <v>379.0</v>
      </c>
      <c r="E145" s="8">
        <v>0.086647619047619</v>
      </c>
      <c r="F145" s="2">
        <v>394.0</v>
      </c>
      <c r="G145" s="2">
        <v>422.0</v>
      </c>
      <c r="H145" s="3">
        <v>215.591123809523</v>
      </c>
      <c r="I145" s="3">
        <v>117.930130005516</v>
      </c>
      <c r="Q145" s="13"/>
      <c r="R145" s="14"/>
    </row>
    <row r="146">
      <c r="A146" s="1" t="s">
        <v>182</v>
      </c>
      <c r="B146" s="1">
        <v>64.0</v>
      </c>
      <c r="C146" s="1">
        <v>757.0</v>
      </c>
      <c r="D146" s="1">
        <v>122.0</v>
      </c>
      <c r="E146" s="8">
        <v>0.09140625</v>
      </c>
      <c r="F146" s="2">
        <v>129.0</v>
      </c>
      <c r="G146" s="2">
        <v>143.0</v>
      </c>
      <c r="H146" s="3">
        <v>72.961625</v>
      </c>
      <c r="I146" s="3">
        <v>36.2227910280168</v>
      </c>
      <c r="Q146" s="13"/>
      <c r="R146" s="14"/>
    </row>
    <row r="147">
      <c r="A147" s="1" t="s">
        <v>183</v>
      </c>
      <c r="B147" s="1">
        <v>58.0</v>
      </c>
      <c r="C147" s="1">
        <v>715.0</v>
      </c>
      <c r="D147" s="1">
        <v>112.0</v>
      </c>
      <c r="E147" s="8">
        <v>0.0917931034482758</v>
      </c>
      <c r="F147" s="2">
        <v>118.0</v>
      </c>
      <c r="G147" s="2">
        <v>130.0</v>
      </c>
      <c r="H147" s="3">
        <v>65.6364827586206</v>
      </c>
      <c r="I147" s="3">
        <v>35.4494238079925</v>
      </c>
      <c r="Q147" s="13"/>
      <c r="R147" s="14"/>
    </row>
    <row r="148">
      <c r="A148" s="1" t="s">
        <v>184</v>
      </c>
      <c r="B148" s="1">
        <v>64.0</v>
      </c>
      <c r="C148" s="1">
        <v>854.0</v>
      </c>
      <c r="D148" s="1">
        <v>135.0</v>
      </c>
      <c r="E148" s="8">
        <v>0.09678125</v>
      </c>
      <c r="F148" s="2">
        <v>144.0</v>
      </c>
      <c r="G148" s="2">
        <v>159.0</v>
      </c>
      <c r="H148" s="3">
        <v>76.52878125</v>
      </c>
      <c r="I148" s="3">
        <v>42.0220044636098</v>
      </c>
      <c r="Q148" s="13"/>
      <c r="R148" s="14"/>
    </row>
    <row r="149">
      <c r="A149" s="1" t="s">
        <v>185</v>
      </c>
      <c r="B149" s="1">
        <v>102.0</v>
      </c>
      <c r="C149" s="1">
        <v>1501.0</v>
      </c>
      <c r="D149" s="1">
        <v>299.0</v>
      </c>
      <c r="E149" s="8">
        <v>0.0973333333333333</v>
      </c>
      <c r="F149" s="2">
        <v>317.0</v>
      </c>
      <c r="G149" s="2">
        <v>344.0</v>
      </c>
      <c r="H149" s="3">
        <v>166.331803921568</v>
      </c>
      <c r="I149" s="3">
        <v>96.7920361346883</v>
      </c>
      <c r="Q149" s="13"/>
      <c r="R149" s="14"/>
    </row>
    <row r="150">
      <c r="A150" s="1" t="s">
        <v>186</v>
      </c>
      <c r="B150" s="1">
        <v>123.0</v>
      </c>
      <c r="C150" s="1">
        <v>1025.0</v>
      </c>
      <c r="D150" s="1">
        <v>149.0</v>
      </c>
      <c r="E150" s="8">
        <v>0.0984878048780487</v>
      </c>
      <c r="F150" s="2">
        <v>159.0</v>
      </c>
      <c r="G150" s="2">
        <v>175.0</v>
      </c>
      <c r="H150" s="3">
        <v>84.5070731707317</v>
      </c>
      <c r="I150" s="3">
        <v>47.5784609878278</v>
      </c>
      <c r="Q150" s="13"/>
      <c r="R150" s="14"/>
    </row>
    <row r="151">
      <c r="A151" s="1" t="s">
        <v>187</v>
      </c>
      <c r="B151" s="1">
        <v>99.0</v>
      </c>
      <c r="C151" s="1">
        <v>905.0</v>
      </c>
      <c r="D151" s="1">
        <v>144.0</v>
      </c>
      <c r="E151" s="8">
        <v>0.117717171717171</v>
      </c>
      <c r="F151" s="2">
        <v>157.0</v>
      </c>
      <c r="G151" s="2">
        <v>172.0</v>
      </c>
      <c r="H151" s="3">
        <v>82.332808080808</v>
      </c>
      <c r="I151" s="3">
        <v>47.0246763760932</v>
      </c>
      <c r="Q151" s="13"/>
      <c r="R151" s="14"/>
    </row>
    <row r="152">
      <c r="A152" s="1" t="s">
        <v>188</v>
      </c>
      <c r="B152" s="1">
        <v>73.0</v>
      </c>
      <c r="C152" s="1">
        <v>543.0</v>
      </c>
      <c r="D152" s="1">
        <v>92.0</v>
      </c>
      <c r="E152" s="8">
        <v>0.120219178082191</v>
      </c>
      <c r="F152" s="2">
        <v>100.0</v>
      </c>
      <c r="G152" s="2">
        <v>110.0</v>
      </c>
      <c r="H152" s="3">
        <v>54.9690958904109</v>
      </c>
      <c r="I152" s="3">
        <v>30.1420796021812</v>
      </c>
      <c r="Q152" s="13"/>
      <c r="R152" s="14"/>
    </row>
    <row r="153">
      <c r="A153" s="1" t="s">
        <v>189</v>
      </c>
      <c r="B153" s="1">
        <v>68.0</v>
      </c>
      <c r="C153" s="1">
        <v>877.0</v>
      </c>
      <c r="D153" s="1">
        <v>118.0</v>
      </c>
      <c r="E153" s="8">
        <v>0.139088235294117</v>
      </c>
      <c r="F153" s="2">
        <v>131.0</v>
      </c>
      <c r="G153" s="2">
        <v>145.0</v>
      </c>
      <c r="H153" s="3">
        <v>72.5932352941176</v>
      </c>
      <c r="I153" s="3">
        <v>38.612107383458</v>
      </c>
      <c r="Q153" s="13"/>
      <c r="R153" s="14"/>
    </row>
    <row r="154">
      <c r="A154" s="1" t="s">
        <v>190</v>
      </c>
      <c r="B154" s="1">
        <v>37.0</v>
      </c>
      <c r="C154" s="1">
        <v>540.0</v>
      </c>
      <c r="D154" s="1">
        <v>85.0</v>
      </c>
      <c r="E154" s="8">
        <v>0.152756756756756</v>
      </c>
      <c r="F154" s="2">
        <v>97.0</v>
      </c>
      <c r="G154" s="2">
        <v>109.0</v>
      </c>
      <c r="H154" s="3">
        <v>50.092</v>
      </c>
      <c r="I154" s="3">
        <v>29.8596893740292</v>
      </c>
      <c r="Q154" s="13"/>
      <c r="R154" s="14"/>
    </row>
    <row r="155">
      <c r="E155" s="13"/>
      <c r="F155" s="15"/>
      <c r="G155" s="15"/>
      <c r="H155" s="16"/>
      <c r="I155" s="16"/>
      <c r="Q155" s="13"/>
      <c r="R155" s="14"/>
    </row>
    <row r="156">
      <c r="E156" s="13"/>
      <c r="F156" s="15"/>
      <c r="G156" s="15"/>
      <c r="H156" s="16"/>
      <c r="I156" s="16"/>
      <c r="Q156" s="13"/>
      <c r="R156" s="14"/>
    </row>
    <row r="157">
      <c r="E157" s="13"/>
      <c r="F157" s="15"/>
      <c r="G157" s="15"/>
      <c r="H157" s="16"/>
      <c r="I157" s="16"/>
      <c r="Q157" s="13"/>
      <c r="R157" s="14"/>
    </row>
    <row r="158">
      <c r="E158" s="13"/>
      <c r="F158" s="15"/>
      <c r="G158" s="15"/>
      <c r="H158" s="16"/>
      <c r="I158" s="16"/>
      <c r="Q158" s="13"/>
      <c r="R158" s="14"/>
    </row>
    <row r="159">
      <c r="E159" s="13"/>
      <c r="F159" s="15"/>
      <c r="G159" s="15"/>
      <c r="H159" s="16"/>
      <c r="I159" s="16"/>
      <c r="Q159" s="13"/>
      <c r="R159" s="14"/>
    </row>
    <row r="160">
      <c r="E160" s="13"/>
      <c r="F160" s="15"/>
      <c r="G160" s="15"/>
      <c r="H160" s="16"/>
      <c r="I160" s="16"/>
      <c r="Q160" s="13"/>
      <c r="R160" s="14"/>
    </row>
    <row r="161">
      <c r="E161" s="13"/>
      <c r="F161" s="15"/>
      <c r="G161" s="15"/>
      <c r="H161" s="16"/>
      <c r="I161" s="16"/>
      <c r="Q161" s="13"/>
      <c r="R161" s="14"/>
    </row>
    <row r="162">
      <c r="E162" s="13"/>
      <c r="F162" s="15"/>
      <c r="G162" s="15"/>
      <c r="H162" s="16"/>
      <c r="I162" s="16"/>
      <c r="Q162" s="13"/>
      <c r="R162" s="14"/>
    </row>
    <row r="163">
      <c r="E163" s="13"/>
      <c r="F163" s="15"/>
      <c r="G163" s="15"/>
      <c r="H163" s="16"/>
      <c r="I163" s="16"/>
      <c r="Q163" s="13"/>
      <c r="R163" s="14"/>
    </row>
    <row r="164">
      <c r="E164" s="13"/>
      <c r="F164" s="15"/>
      <c r="G164" s="15"/>
      <c r="H164" s="16"/>
      <c r="I164" s="16"/>
      <c r="Q164" s="13"/>
      <c r="R164" s="14"/>
    </row>
    <row r="165">
      <c r="E165" s="13"/>
      <c r="F165" s="15"/>
      <c r="G165" s="15"/>
      <c r="H165" s="16"/>
      <c r="I165" s="16"/>
      <c r="Q165" s="13"/>
      <c r="R165" s="14"/>
    </row>
    <row r="166">
      <c r="E166" s="13"/>
      <c r="F166" s="15"/>
      <c r="G166" s="15"/>
      <c r="H166" s="16"/>
      <c r="I166" s="16"/>
      <c r="Q166" s="13"/>
      <c r="R166" s="14"/>
    </row>
    <row r="167">
      <c r="E167" s="13"/>
      <c r="F167" s="15"/>
      <c r="G167" s="15"/>
      <c r="H167" s="16"/>
      <c r="I167" s="16"/>
      <c r="Q167" s="13"/>
      <c r="R167" s="14"/>
    </row>
    <row r="168">
      <c r="E168" s="13"/>
      <c r="F168" s="15"/>
      <c r="G168" s="15"/>
      <c r="H168" s="16"/>
      <c r="I168" s="16"/>
      <c r="Q168" s="13"/>
      <c r="R168" s="14"/>
    </row>
    <row r="169">
      <c r="E169" s="13"/>
      <c r="F169" s="15"/>
      <c r="G169" s="15"/>
      <c r="H169" s="16"/>
      <c r="I169" s="16"/>
      <c r="Q169" s="13"/>
      <c r="R169" s="14"/>
    </row>
    <row r="170">
      <c r="E170" s="13"/>
      <c r="F170" s="15"/>
      <c r="G170" s="15"/>
      <c r="H170" s="16"/>
      <c r="I170" s="16"/>
      <c r="Q170" s="13"/>
      <c r="R170" s="14"/>
    </row>
    <row r="171">
      <c r="E171" s="13"/>
      <c r="F171" s="15"/>
      <c r="G171" s="15"/>
      <c r="H171" s="16"/>
      <c r="I171" s="16"/>
      <c r="Q171" s="13"/>
      <c r="R171" s="14"/>
    </row>
    <row r="172">
      <c r="E172" s="13"/>
      <c r="F172" s="15"/>
      <c r="G172" s="15"/>
      <c r="H172" s="16"/>
      <c r="I172" s="16"/>
      <c r="Q172" s="13"/>
      <c r="R172" s="14"/>
    </row>
    <row r="173">
      <c r="E173" s="13"/>
      <c r="F173" s="15"/>
      <c r="G173" s="15"/>
      <c r="H173" s="16"/>
      <c r="I173" s="16"/>
      <c r="Q173" s="13"/>
      <c r="R173" s="14"/>
    </row>
    <row r="174">
      <c r="E174" s="13"/>
      <c r="F174" s="15"/>
      <c r="G174" s="15"/>
      <c r="H174" s="16"/>
      <c r="I174" s="16"/>
      <c r="Q174" s="13"/>
      <c r="R174" s="14"/>
    </row>
    <row r="175">
      <c r="E175" s="13"/>
      <c r="F175" s="15"/>
      <c r="G175" s="15"/>
      <c r="H175" s="16"/>
      <c r="I175" s="16"/>
      <c r="Q175" s="13"/>
      <c r="R175" s="14"/>
    </row>
    <row r="176">
      <c r="E176" s="13"/>
      <c r="F176" s="15"/>
      <c r="G176" s="15"/>
      <c r="H176" s="16"/>
      <c r="I176" s="16"/>
      <c r="Q176" s="13"/>
      <c r="R176" s="14"/>
    </row>
    <row r="177">
      <c r="E177" s="13"/>
      <c r="F177" s="15"/>
      <c r="G177" s="15"/>
      <c r="H177" s="16"/>
      <c r="I177" s="16"/>
      <c r="Q177" s="13"/>
      <c r="R177" s="14"/>
    </row>
    <row r="178">
      <c r="E178" s="13"/>
      <c r="F178" s="15"/>
      <c r="G178" s="15"/>
      <c r="H178" s="16"/>
      <c r="I178" s="16"/>
      <c r="Q178" s="13"/>
      <c r="R178" s="14"/>
    </row>
    <row r="179">
      <c r="E179" s="13"/>
      <c r="F179" s="15"/>
      <c r="G179" s="15"/>
      <c r="H179" s="16"/>
      <c r="I179" s="16"/>
      <c r="Q179" s="13"/>
      <c r="R179" s="14"/>
    </row>
    <row r="180">
      <c r="E180" s="13"/>
      <c r="F180" s="15"/>
      <c r="G180" s="15"/>
      <c r="H180" s="16"/>
      <c r="I180" s="16"/>
      <c r="Q180" s="13"/>
      <c r="R180" s="14"/>
    </row>
    <row r="181">
      <c r="E181" s="13"/>
      <c r="F181" s="15"/>
      <c r="G181" s="15"/>
      <c r="H181" s="16"/>
      <c r="I181" s="16"/>
      <c r="Q181" s="13"/>
      <c r="R181" s="14"/>
    </row>
    <row r="182">
      <c r="E182" s="13"/>
      <c r="F182" s="15"/>
      <c r="G182" s="15"/>
      <c r="H182" s="16"/>
      <c r="I182" s="16"/>
      <c r="Q182" s="13"/>
      <c r="R182" s="14"/>
    </row>
    <row r="183">
      <c r="E183" s="13"/>
      <c r="F183" s="15"/>
      <c r="G183" s="15"/>
      <c r="H183" s="16"/>
      <c r="I183" s="16"/>
      <c r="Q183" s="13"/>
      <c r="R183" s="14"/>
    </row>
    <row r="184">
      <c r="E184" s="13"/>
      <c r="F184" s="15"/>
      <c r="G184" s="15"/>
      <c r="H184" s="16"/>
      <c r="I184" s="16"/>
      <c r="Q184" s="13"/>
      <c r="R184" s="14"/>
    </row>
    <row r="185">
      <c r="E185" s="13"/>
      <c r="F185" s="15"/>
      <c r="G185" s="15"/>
      <c r="H185" s="16"/>
      <c r="I185" s="16"/>
      <c r="Q185" s="13"/>
      <c r="R185" s="14"/>
    </row>
    <row r="186">
      <c r="E186" s="13"/>
      <c r="F186" s="15"/>
      <c r="G186" s="15"/>
      <c r="H186" s="16"/>
      <c r="I186" s="16"/>
      <c r="Q186" s="13"/>
      <c r="R186" s="14"/>
    </row>
    <row r="187">
      <c r="E187" s="13"/>
      <c r="F187" s="15"/>
      <c r="G187" s="15"/>
      <c r="H187" s="16"/>
      <c r="I187" s="16"/>
      <c r="Q187" s="13"/>
      <c r="R187" s="14"/>
    </row>
    <row r="188">
      <c r="E188" s="13"/>
      <c r="F188" s="15"/>
      <c r="G188" s="15"/>
      <c r="H188" s="16"/>
      <c r="I188" s="16"/>
      <c r="Q188" s="13"/>
      <c r="R188" s="14"/>
    </row>
    <row r="189">
      <c r="E189" s="13"/>
      <c r="F189" s="15"/>
      <c r="G189" s="15"/>
      <c r="H189" s="16"/>
      <c r="I189" s="16"/>
      <c r="Q189" s="13"/>
      <c r="R189" s="14"/>
    </row>
    <row r="190">
      <c r="E190" s="13"/>
      <c r="F190" s="15"/>
      <c r="G190" s="15"/>
      <c r="H190" s="16"/>
      <c r="I190" s="16"/>
      <c r="Q190" s="13"/>
      <c r="R190" s="14"/>
    </row>
    <row r="191">
      <c r="E191" s="13"/>
      <c r="F191" s="15"/>
      <c r="G191" s="15"/>
      <c r="H191" s="16"/>
      <c r="I191" s="16"/>
      <c r="Q191" s="13"/>
      <c r="R191" s="14"/>
    </row>
    <row r="192">
      <c r="E192" s="13"/>
      <c r="F192" s="15"/>
      <c r="G192" s="15"/>
      <c r="H192" s="16"/>
      <c r="I192" s="16"/>
      <c r="Q192" s="13"/>
      <c r="R192" s="14"/>
    </row>
    <row r="193">
      <c r="E193" s="13"/>
      <c r="F193" s="15"/>
      <c r="G193" s="15"/>
      <c r="H193" s="16"/>
      <c r="I193" s="16"/>
      <c r="Q193" s="13"/>
      <c r="R193" s="14"/>
    </row>
    <row r="194">
      <c r="E194" s="13"/>
      <c r="F194" s="15"/>
      <c r="G194" s="15"/>
      <c r="H194" s="16"/>
      <c r="I194" s="16"/>
      <c r="Q194" s="13"/>
      <c r="R194" s="14"/>
    </row>
    <row r="195">
      <c r="E195" s="13"/>
      <c r="F195" s="15"/>
      <c r="G195" s="15"/>
      <c r="H195" s="16"/>
      <c r="I195" s="16"/>
      <c r="Q195" s="13"/>
      <c r="R195" s="14"/>
    </row>
    <row r="196">
      <c r="E196" s="13"/>
      <c r="F196" s="15"/>
      <c r="G196" s="15"/>
      <c r="H196" s="16"/>
      <c r="I196" s="16"/>
      <c r="Q196" s="13"/>
      <c r="R196" s="14"/>
    </row>
    <row r="197">
      <c r="E197" s="13"/>
      <c r="F197" s="15"/>
      <c r="G197" s="15"/>
      <c r="H197" s="16"/>
      <c r="I197" s="16"/>
      <c r="Q197" s="13"/>
      <c r="R197" s="14"/>
    </row>
    <row r="198">
      <c r="E198" s="13"/>
      <c r="F198" s="15"/>
      <c r="G198" s="15"/>
      <c r="H198" s="16"/>
      <c r="I198" s="16"/>
      <c r="Q198" s="13"/>
      <c r="R198" s="14"/>
    </row>
    <row r="199">
      <c r="E199" s="13"/>
      <c r="F199" s="15"/>
      <c r="G199" s="15"/>
      <c r="H199" s="16"/>
      <c r="I199" s="16"/>
      <c r="Q199" s="13"/>
      <c r="R199" s="14"/>
    </row>
    <row r="200">
      <c r="E200" s="13"/>
      <c r="F200" s="15"/>
      <c r="G200" s="15"/>
      <c r="H200" s="16"/>
      <c r="I200" s="16"/>
      <c r="Q200" s="13"/>
      <c r="R200" s="14"/>
    </row>
    <row r="201">
      <c r="E201" s="13"/>
      <c r="F201" s="15"/>
      <c r="G201" s="15"/>
      <c r="H201" s="16"/>
      <c r="I201" s="16"/>
      <c r="Q201" s="13"/>
      <c r="R201" s="14"/>
    </row>
    <row r="202">
      <c r="E202" s="13"/>
      <c r="F202" s="15"/>
      <c r="G202" s="15"/>
      <c r="H202" s="16"/>
      <c r="I202" s="16"/>
      <c r="Q202" s="13"/>
      <c r="R202" s="14"/>
    </row>
    <row r="203">
      <c r="E203" s="13"/>
      <c r="F203" s="15"/>
      <c r="G203" s="15"/>
      <c r="H203" s="16"/>
      <c r="I203" s="16"/>
      <c r="Q203" s="13"/>
      <c r="R203" s="14"/>
    </row>
    <row r="204">
      <c r="E204" s="13"/>
      <c r="F204" s="15"/>
      <c r="G204" s="15"/>
      <c r="H204" s="16"/>
      <c r="I204" s="16"/>
      <c r="Q204" s="13"/>
      <c r="R204" s="14"/>
    </row>
    <row r="205">
      <c r="E205" s="13"/>
      <c r="F205" s="15"/>
      <c r="G205" s="15"/>
      <c r="H205" s="16"/>
      <c r="I205" s="16"/>
      <c r="Q205" s="13"/>
      <c r="R205" s="14"/>
    </row>
    <row r="206">
      <c r="E206" s="13"/>
      <c r="F206" s="15"/>
      <c r="G206" s="15"/>
      <c r="H206" s="16"/>
      <c r="I206" s="16"/>
      <c r="Q206" s="13"/>
      <c r="R206" s="14"/>
    </row>
    <row r="207">
      <c r="E207" s="13"/>
      <c r="F207" s="15"/>
      <c r="G207" s="15"/>
      <c r="H207" s="16"/>
      <c r="I207" s="16"/>
      <c r="Q207" s="13"/>
      <c r="R207" s="14"/>
    </row>
    <row r="208">
      <c r="E208" s="13"/>
      <c r="F208" s="15"/>
      <c r="G208" s="15"/>
      <c r="H208" s="16"/>
      <c r="I208" s="16"/>
      <c r="Q208" s="13"/>
      <c r="R208" s="14"/>
    </row>
    <row r="209">
      <c r="E209" s="13"/>
      <c r="F209" s="15"/>
      <c r="G209" s="15"/>
      <c r="H209" s="16"/>
      <c r="I209" s="16"/>
      <c r="Q209" s="13"/>
      <c r="R209" s="14"/>
    </row>
    <row r="210">
      <c r="E210" s="13"/>
      <c r="F210" s="15"/>
      <c r="G210" s="15"/>
      <c r="H210" s="16"/>
      <c r="I210" s="16"/>
      <c r="Q210" s="13"/>
      <c r="R210" s="14"/>
    </row>
    <row r="211">
      <c r="E211" s="13"/>
      <c r="F211" s="15"/>
      <c r="G211" s="15"/>
      <c r="H211" s="16"/>
      <c r="I211" s="16"/>
      <c r="Q211" s="13"/>
      <c r="R211" s="14"/>
    </row>
    <row r="212">
      <c r="E212" s="13"/>
      <c r="F212" s="15"/>
      <c r="G212" s="15"/>
      <c r="H212" s="16"/>
      <c r="I212" s="16"/>
      <c r="Q212" s="13"/>
      <c r="R212" s="14"/>
    </row>
    <row r="213">
      <c r="E213" s="13"/>
      <c r="F213" s="15"/>
      <c r="G213" s="15"/>
      <c r="H213" s="16"/>
      <c r="I213" s="16"/>
      <c r="Q213" s="13"/>
      <c r="R213" s="14"/>
    </row>
    <row r="214">
      <c r="E214" s="13"/>
      <c r="F214" s="15"/>
      <c r="G214" s="15"/>
      <c r="H214" s="16"/>
      <c r="I214" s="16"/>
      <c r="Q214" s="13"/>
      <c r="R214" s="14"/>
    </row>
    <row r="215">
      <c r="E215" s="13"/>
      <c r="F215" s="15"/>
      <c r="G215" s="15"/>
      <c r="H215" s="16"/>
      <c r="I215" s="16"/>
      <c r="Q215" s="13"/>
      <c r="R215" s="14"/>
    </row>
    <row r="216">
      <c r="E216" s="13"/>
      <c r="F216" s="15"/>
      <c r="G216" s="15"/>
      <c r="H216" s="16"/>
      <c r="I216" s="16"/>
      <c r="Q216" s="13"/>
      <c r="R216" s="14"/>
    </row>
    <row r="217">
      <c r="E217" s="13"/>
      <c r="F217" s="15"/>
      <c r="G217" s="15"/>
      <c r="H217" s="16"/>
      <c r="I217" s="16"/>
      <c r="Q217" s="13"/>
      <c r="R217" s="14"/>
    </row>
    <row r="218">
      <c r="E218" s="13"/>
      <c r="F218" s="15"/>
      <c r="G218" s="15"/>
      <c r="H218" s="16"/>
      <c r="I218" s="16"/>
      <c r="Q218" s="13"/>
      <c r="R218" s="14"/>
    </row>
    <row r="219">
      <c r="E219" s="13"/>
      <c r="F219" s="15"/>
      <c r="G219" s="15"/>
      <c r="H219" s="16"/>
      <c r="I219" s="16"/>
      <c r="Q219" s="13"/>
      <c r="R219" s="14"/>
    </row>
    <row r="220">
      <c r="E220" s="13"/>
      <c r="F220" s="15"/>
      <c r="G220" s="15"/>
      <c r="H220" s="16"/>
      <c r="I220" s="16"/>
      <c r="Q220" s="13"/>
      <c r="R220" s="14"/>
    </row>
    <row r="221">
      <c r="E221" s="13"/>
      <c r="F221" s="15"/>
      <c r="G221" s="15"/>
      <c r="H221" s="16"/>
      <c r="I221" s="16"/>
      <c r="Q221" s="13"/>
      <c r="R221" s="14"/>
    </row>
    <row r="222">
      <c r="E222" s="13"/>
      <c r="F222" s="15"/>
      <c r="G222" s="15"/>
      <c r="H222" s="16"/>
      <c r="I222" s="16"/>
      <c r="Q222" s="13"/>
      <c r="R222" s="14"/>
    </row>
    <row r="223">
      <c r="E223" s="13"/>
      <c r="F223" s="15"/>
      <c r="G223" s="15"/>
      <c r="H223" s="16"/>
      <c r="I223" s="16"/>
      <c r="Q223" s="13"/>
      <c r="R223" s="14"/>
    </row>
    <row r="224">
      <c r="E224" s="13"/>
      <c r="F224" s="15"/>
      <c r="G224" s="15"/>
      <c r="H224" s="16"/>
      <c r="I224" s="16"/>
      <c r="Q224" s="13"/>
      <c r="R224" s="14"/>
    </row>
    <row r="225">
      <c r="E225" s="13"/>
      <c r="F225" s="15"/>
      <c r="G225" s="15"/>
      <c r="H225" s="16"/>
      <c r="I225" s="16"/>
      <c r="Q225" s="13"/>
      <c r="R225" s="14"/>
    </row>
    <row r="226">
      <c r="E226" s="13"/>
      <c r="F226" s="15"/>
      <c r="G226" s="15"/>
      <c r="H226" s="16"/>
      <c r="I226" s="16"/>
      <c r="Q226" s="13"/>
      <c r="R226" s="14"/>
    </row>
    <row r="227">
      <c r="E227" s="13"/>
      <c r="F227" s="15"/>
      <c r="G227" s="15"/>
      <c r="H227" s="16"/>
      <c r="I227" s="16"/>
      <c r="Q227" s="13"/>
      <c r="R227" s="14"/>
    </row>
    <row r="228">
      <c r="E228" s="13"/>
      <c r="F228" s="15"/>
      <c r="G228" s="15"/>
      <c r="H228" s="16"/>
      <c r="I228" s="16"/>
      <c r="Q228" s="13"/>
      <c r="R228" s="14"/>
    </row>
    <row r="229">
      <c r="E229" s="13"/>
      <c r="F229" s="15"/>
      <c r="G229" s="15"/>
      <c r="H229" s="16"/>
      <c r="I229" s="16"/>
      <c r="Q229" s="13"/>
      <c r="R229" s="14"/>
    </row>
    <row r="230">
      <c r="E230" s="13"/>
      <c r="F230" s="15"/>
      <c r="G230" s="15"/>
      <c r="H230" s="16"/>
      <c r="I230" s="16"/>
      <c r="Q230" s="13"/>
      <c r="R230" s="14"/>
    </row>
    <row r="231">
      <c r="E231" s="13"/>
      <c r="F231" s="15"/>
      <c r="G231" s="15"/>
      <c r="H231" s="16"/>
      <c r="I231" s="16"/>
      <c r="Q231" s="13"/>
      <c r="R231" s="14"/>
    </row>
    <row r="232">
      <c r="E232" s="13"/>
      <c r="F232" s="15"/>
      <c r="G232" s="15"/>
      <c r="H232" s="16"/>
      <c r="I232" s="16"/>
      <c r="Q232" s="13"/>
      <c r="R232" s="14"/>
    </row>
    <row r="233">
      <c r="E233" s="13"/>
      <c r="F233" s="15"/>
      <c r="G233" s="15"/>
      <c r="H233" s="16"/>
      <c r="I233" s="16"/>
      <c r="Q233" s="13"/>
      <c r="R233" s="14"/>
    </row>
    <row r="234">
      <c r="E234" s="13"/>
      <c r="F234" s="15"/>
      <c r="G234" s="15"/>
      <c r="H234" s="16"/>
      <c r="I234" s="16"/>
      <c r="Q234" s="13"/>
      <c r="R234" s="14"/>
    </row>
    <row r="235">
      <c r="E235" s="13"/>
      <c r="F235" s="15"/>
      <c r="G235" s="15"/>
      <c r="H235" s="16"/>
      <c r="I235" s="16"/>
      <c r="Q235" s="13"/>
      <c r="R235" s="14"/>
    </row>
    <row r="236">
      <c r="E236" s="13"/>
      <c r="F236" s="15"/>
      <c r="G236" s="15"/>
      <c r="H236" s="16"/>
      <c r="I236" s="16"/>
      <c r="Q236" s="13"/>
      <c r="R236" s="14"/>
    </row>
    <row r="237">
      <c r="E237" s="13"/>
      <c r="F237" s="15"/>
      <c r="G237" s="15"/>
      <c r="H237" s="16"/>
      <c r="I237" s="16"/>
      <c r="Q237" s="13"/>
      <c r="R237" s="14"/>
    </row>
    <row r="238">
      <c r="E238" s="13"/>
      <c r="F238" s="15"/>
      <c r="G238" s="15"/>
      <c r="H238" s="16"/>
      <c r="I238" s="16"/>
      <c r="Q238" s="13"/>
      <c r="R238" s="14"/>
    </row>
    <row r="239">
      <c r="E239" s="13"/>
      <c r="F239" s="15"/>
      <c r="G239" s="15"/>
      <c r="H239" s="16"/>
      <c r="I239" s="16"/>
      <c r="Q239" s="13"/>
      <c r="R239" s="14"/>
    </row>
    <row r="240">
      <c r="E240" s="13"/>
      <c r="F240" s="15"/>
      <c r="G240" s="15"/>
      <c r="H240" s="16"/>
      <c r="I240" s="16"/>
      <c r="Q240" s="13"/>
      <c r="R240" s="14"/>
    </row>
    <row r="241">
      <c r="E241" s="13"/>
      <c r="F241" s="15"/>
      <c r="G241" s="15"/>
      <c r="H241" s="16"/>
      <c r="I241" s="16"/>
      <c r="Q241" s="13"/>
      <c r="R241" s="14"/>
    </row>
    <row r="242">
      <c r="E242" s="13"/>
      <c r="F242" s="15"/>
      <c r="G242" s="15"/>
      <c r="H242" s="16"/>
      <c r="I242" s="16"/>
      <c r="Q242" s="13"/>
      <c r="R242" s="14"/>
    </row>
    <row r="243">
      <c r="E243" s="13"/>
      <c r="F243" s="15"/>
      <c r="G243" s="15"/>
      <c r="H243" s="16"/>
      <c r="I243" s="16"/>
      <c r="Q243" s="13"/>
      <c r="R243" s="14"/>
    </row>
    <row r="244">
      <c r="E244" s="13"/>
      <c r="F244" s="15"/>
      <c r="G244" s="15"/>
      <c r="H244" s="16"/>
      <c r="I244" s="16"/>
      <c r="Q244" s="13"/>
      <c r="R244" s="14"/>
    </row>
    <row r="245">
      <c r="E245" s="13"/>
      <c r="F245" s="15"/>
      <c r="G245" s="15"/>
      <c r="H245" s="16"/>
      <c r="I245" s="16"/>
      <c r="Q245" s="13"/>
      <c r="R245" s="14"/>
    </row>
    <row r="246">
      <c r="E246" s="13"/>
      <c r="F246" s="15"/>
      <c r="G246" s="15"/>
      <c r="H246" s="16"/>
      <c r="I246" s="16"/>
      <c r="Q246" s="13"/>
      <c r="R246" s="14"/>
    </row>
    <row r="247">
      <c r="E247" s="13"/>
      <c r="F247" s="15"/>
      <c r="G247" s="15"/>
      <c r="H247" s="16"/>
      <c r="I247" s="16"/>
      <c r="Q247" s="13"/>
      <c r="R247" s="14"/>
    </row>
    <row r="248">
      <c r="E248" s="13"/>
      <c r="F248" s="15"/>
      <c r="G248" s="15"/>
      <c r="H248" s="16"/>
      <c r="I248" s="16"/>
      <c r="Q248" s="13"/>
      <c r="R248" s="14"/>
    </row>
    <row r="249">
      <c r="E249" s="13"/>
      <c r="F249" s="15"/>
      <c r="G249" s="15"/>
      <c r="H249" s="16"/>
      <c r="I249" s="16"/>
      <c r="Q249" s="13"/>
      <c r="R249" s="14"/>
    </row>
    <row r="250">
      <c r="E250" s="13"/>
      <c r="F250" s="15"/>
      <c r="G250" s="15"/>
      <c r="H250" s="16"/>
      <c r="I250" s="16"/>
      <c r="Q250" s="13"/>
      <c r="R250" s="14"/>
    </row>
    <row r="251">
      <c r="E251" s="13"/>
      <c r="F251" s="15"/>
      <c r="G251" s="15"/>
      <c r="H251" s="16"/>
      <c r="I251" s="16"/>
      <c r="Q251" s="13"/>
      <c r="R251" s="14"/>
    </row>
    <row r="252">
      <c r="E252" s="13"/>
      <c r="F252" s="15"/>
      <c r="G252" s="15"/>
      <c r="H252" s="16"/>
      <c r="I252" s="16"/>
      <c r="Q252" s="13"/>
      <c r="R252" s="14"/>
    </row>
    <row r="253">
      <c r="E253" s="13"/>
      <c r="F253" s="15"/>
      <c r="G253" s="15"/>
      <c r="H253" s="16"/>
      <c r="I253" s="16"/>
      <c r="Q253" s="13"/>
      <c r="R253" s="14"/>
    </row>
    <row r="254">
      <c r="E254" s="13"/>
      <c r="F254" s="15"/>
      <c r="G254" s="15"/>
      <c r="H254" s="16"/>
      <c r="I254" s="16"/>
      <c r="Q254" s="13"/>
      <c r="R254" s="14"/>
    </row>
    <row r="255">
      <c r="E255" s="13"/>
      <c r="F255" s="15"/>
      <c r="G255" s="15"/>
      <c r="H255" s="16"/>
      <c r="I255" s="16"/>
      <c r="Q255" s="13"/>
      <c r="R255" s="14"/>
    </row>
    <row r="256">
      <c r="E256" s="13"/>
      <c r="F256" s="15"/>
      <c r="G256" s="15"/>
      <c r="H256" s="16"/>
      <c r="I256" s="16"/>
      <c r="Q256" s="13"/>
      <c r="R256" s="14"/>
    </row>
    <row r="257">
      <c r="E257" s="13"/>
      <c r="F257" s="15"/>
      <c r="G257" s="15"/>
      <c r="H257" s="16"/>
      <c r="I257" s="16"/>
      <c r="Q257" s="13"/>
      <c r="R257" s="14"/>
    </row>
    <row r="258">
      <c r="E258" s="13"/>
      <c r="F258" s="15"/>
      <c r="G258" s="15"/>
      <c r="H258" s="16"/>
      <c r="I258" s="16"/>
      <c r="Q258" s="13"/>
      <c r="R258" s="14"/>
    </row>
    <row r="259">
      <c r="E259" s="13"/>
      <c r="F259" s="15"/>
      <c r="G259" s="15"/>
      <c r="H259" s="16"/>
      <c r="I259" s="16"/>
      <c r="Q259" s="13"/>
      <c r="R259" s="14"/>
    </row>
    <row r="260">
      <c r="E260" s="13"/>
      <c r="F260" s="15"/>
      <c r="G260" s="15"/>
      <c r="H260" s="16"/>
      <c r="I260" s="16"/>
      <c r="Q260" s="13"/>
      <c r="R260" s="14"/>
    </row>
    <row r="261">
      <c r="E261" s="13"/>
      <c r="F261" s="15"/>
      <c r="G261" s="15"/>
      <c r="H261" s="16"/>
      <c r="I261" s="16"/>
      <c r="Q261" s="13"/>
      <c r="R261" s="14"/>
    </row>
    <row r="262">
      <c r="E262" s="13"/>
      <c r="F262" s="15"/>
      <c r="G262" s="15"/>
      <c r="H262" s="16"/>
      <c r="I262" s="16"/>
      <c r="Q262" s="13"/>
      <c r="R262" s="14"/>
    </row>
    <row r="263">
      <c r="E263" s="13"/>
      <c r="F263" s="15"/>
      <c r="G263" s="15"/>
      <c r="H263" s="16"/>
      <c r="I263" s="16"/>
      <c r="Q263" s="13"/>
      <c r="R263" s="14"/>
    </row>
    <row r="264">
      <c r="E264" s="13"/>
      <c r="F264" s="15"/>
      <c r="G264" s="15"/>
      <c r="H264" s="16"/>
      <c r="I264" s="16"/>
      <c r="Q264" s="13"/>
      <c r="R264" s="14"/>
    </row>
    <row r="265">
      <c r="E265" s="13"/>
      <c r="F265" s="15"/>
      <c r="G265" s="15"/>
      <c r="H265" s="16"/>
      <c r="I265" s="16"/>
      <c r="Q265" s="13"/>
      <c r="R265" s="14"/>
    </row>
    <row r="266">
      <c r="E266" s="13"/>
      <c r="F266" s="15"/>
      <c r="G266" s="15"/>
      <c r="H266" s="16"/>
      <c r="I266" s="16"/>
      <c r="Q266" s="13"/>
      <c r="R266" s="14"/>
    </row>
    <row r="267">
      <c r="E267" s="13"/>
      <c r="F267" s="15"/>
      <c r="G267" s="15"/>
      <c r="H267" s="16"/>
      <c r="I267" s="16"/>
      <c r="Q267" s="13"/>
      <c r="R267" s="14"/>
    </row>
    <row r="268">
      <c r="E268" s="13"/>
      <c r="F268" s="15"/>
      <c r="G268" s="15"/>
      <c r="H268" s="16"/>
      <c r="I268" s="16"/>
      <c r="Q268" s="13"/>
      <c r="R268" s="14"/>
    </row>
    <row r="269">
      <c r="E269" s="13"/>
      <c r="F269" s="15"/>
      <c r="G269" s="15"/>
      <c r="H269" s="16"/>
      <c r="I269" s="16"/>
      <c r="Q269" s="13"/>
      <c r="R269" s="14"/>
    </row>
    <row r="270">
      <c r="E270" s="13"/>
      <c r="F270" s="15"/>
      <c r="G270" s="15"/>
      <c r="H270" s="16"/>
      <c r="I270" s="16"/>
      <c r="Q270" s="13"/>
      <c r="R270" s="14"/>
    </row>
    <row r="271">
      <c r="E271" s="13"/>
      <c r="F271" s="15"/>
      <c r="G271" s="15"/>
      <c r="H271" s="16"/>
      <c r="I271" s="16"/>
      <c r="Q271" s="13"/>
      <c r="R271" s="14"/>
    </row>
    <row r="272">
      <c r="E272" s="13"/>
      <c r="F272" s="15"/>
      <c r="G272" s="15"/>
      <c r="H272" s="16"/>
      <c r="I272" s="16"/>
      <c r="Q272" s="13"/>
      <c r="R272" s="14"/>
    </row>
    <row r="273">
      <c r="E273" s="13"/>
      <c r="F273" s="15"/>
      <c r="G273" s="15"/>
      <c r="H273" s="16"/>
      <c r="I273" s="16"/>
      <c r="Q273" s="13"/>
      <c r="R273" s="14"/>
    </row>
    <row r="274">
      <c r="E274" s="13"/>
      <c r="F274" s="15"/>
      <c r="G274" s="15"/>
      <c r="H274" s="16"/>
      <c r="I274" s="16"/>
      <c r="Q274" s="13"/>
      <c r="R274" s="14"/>
    </row>
    <row r="275">
      <c r="E275" s="13"/>
      <c r="F275" s="15"/>
      <c r="G275" s="15"/>
      <c r="H275" s="16"/>
      <c r="I275" s="16"/>
      <c r="Q275" s="13"/>
      <c r="R275" s="14"/>
    </row>
    <row r="276">
      <c r="E276" s="13"/>
      <c r="F276" s="15"/>
      <c r="G276" s="15"/>
      <c r="H276" s="16"/>
      <c r="I276" s="16"/>
      <c r="Q276" s="13"/>
      <c r="R276" s="14"/>
    </row>
    <row r="277">
      <c r="E277" s="13"/>
      <c r="F277" s="15"/>
      <c r="G277" s="15"/>
      <c r="H277" s="16"/>
      <c r="I277" s="16"/>
      <c r="Q277" s="13"/>
      <c r="R277" s="14"/>
    </row>
    <row r="278">
      <c r="E278" s="13"/>
      <c r="F278" s="15"/>
      <c r="G278" s="15"/>
      <c r="H278" s="16"/>
      <c r="I278" s="16"/>
      <c r="Q278" s="13"/>
      <c r="R278" s="14"/>
    </row>
    <row r="279">
      <c r="E279" s="13"/>
      <c r="F279" s="15"/>
      <c r="G279" s="15"/>
      <c r="H279" s="16"/>
      <c r="I279" s="16"/>
      <c r="Q279" s="13"/>
      <c r="R279" s="14"/>
    </row>
    <row r="280">
      <c r="E280" s="13"/>
      <c r="F280" s="15"/>
      <c r="G280" s="15"/>
      <c r="H280" s="16"/>
      <c r="I280" s="16"/>
      <c r="Q280" s="13"/>
      <c r="R280" s="14"/>
    </row>
    <row r="281">
      <c r="E281" s="13"/>
      <c r="F281" s="15"/>
      <c r="G281" s="15"/>
      <c r="H281" s="16"/>
      <c r="I281" s="16"/>
      <c r="Q281" s="13"/>
      <c r="R281" s="14"/>
    </row>
    <row r="282">
      <c r="E282" s="13"/>
      <c r="F282" s="15"/>
      <c r="G282" s="15"/>
      <c r="H282" s="16"/>
      <c r="I282" s="16"/>
      <c r="Q282" s="13"/>
      <c r="R282" s="14"/>
    </row>
    <row r="283">
      <c r="E283" s="13"/>
      <c r="F283" s="15"/>
      <c r="G283" s="15"/>
      <c r="H283" s="16"/>
      <c r="I283" s="16"/>
      <c r="Q283" s="13"/>
      <c r="R283" s="14"/>
    </row>
    <row r="284">
      <c r="E284" s="13"/>
      <c r="F284" s="15"/>
      <c r="G284" s="15"/>
      <c r="H284" s="16"/>
      <c r="I284" s="16"/>
      <c r="Q284" s="13"/>
      <c r="R284" s="14"/>
    </row>
    <row r="285">
      <c r="E285" s="13"/>
      <c r="F285" s="15"/>
      <c r="G285" s="15"/>
      <c r="H285" s="16"/>
      <c r="I285" s="16"/>
      <c r="Q285" s="13"/>
      <c r="R285" s="14"/>
    </row>
    <row r="286">
      <c r="E286" s="13"/>
      <c r="F286" s="15"/>
      <c r="G286" s="15"/>
      <c r="H286" s="16"/>
      <c r="I286" s="16"/>
      <c r="Q286" s="13"/>
      <c r="R286" s="14"/>
    </row>
    <row r="287">
      <c r="E287" s="13"/>
      <c r="F287" s="15"/>
      <c r="G287" s="15"/>
      <c r="H287" s="16"/>
      <c r="I287" s="16"/>
      <c r="Q287" s="13"/>
      <c r="R287" s="14"/>
    </row>
    <row r="288">
      <c r="E288" s="13"/>
      <c r="F288" s="15"/>
      <c r="G288" s="15"/>
      <c r="H288" s="16"/>
      <c r="I288" s="16"/>
      <c r="Q288" s="13"/>
      <c r="R288" s="14"/>
    </row>
    <row r="289">
      <c r="E289" s="13"/>
      <c r="F289" s="15"/>
      <c r="G289" s="15"/>
      <c r="H289" s="16"/>
      <c r="I289" s="16"/>
      <c r="Q289" s="13"/>
      <c r="R289" s="14"/>
    </row>
    <row r="290">
      <c r="E290" s="13"/>
      <c r="F290" s="15"/>
      <c r="G290" s="15"/>
      <c r="H290" s="16"/>
      <c r="I290" s="16"/>
      <c r="Q290" s="13"/>
      <c r="R290" s="14"/>
    </row>
    <row r="291">
      <c r="E291" s="13"/>
      <c r="F291" s="15"/>
      <c r="G291" s="15"/>
      <c r="H291" s="16"/>
      <c r="I291" s="16"/>
      <c r="Q291" s="13"/>
      <c r="R291" s="14"/>
    </row>
    <row r="292">
      <c r="E292" s="13"/>
      <c r="F292" s="15"/>
      <c r="G292" s="15"/>
      <c r="H292" s="16"/>
      <c r="I292" s="16"/>
      <c r="Q292" s="13"/>
      <c r="R292" s="14"/>
    </row>
    <row r="293">
      <c r="E293" s="13"/>
      <c r="F293" s="15"/>
      <c r="G293" s="15"/>
      <c r="H293" s="16"/>
      <c r="I293" s="16"/>
      <c r="Q293" s="13"/>
      <c r="R293" s="14"/>
    </row>
    <row r="294">
      <c r="E294" s="13"/>
      <c r="F294" s="15"/>
      <c r="G294" s="15"/>
      <c r="H294" s="16"/>
      <c r="I294" s="16"/>
      <c r="Q294" s="13"/>
      <c r="R294" s="14"/>
    </row>
    <row r="295">
      <c r="E295" s="13"/>
      <c r="F295" s="15"/>
      <c r="G295" s="15"/>
      <c r="H295" s="16"/>
      <c r="I295" s="16"/>
      <c r="Q295" s="13"/>
      <c r="R295" s="14"/>
    </row>
    <row r="296">
      <c r="E296" s="13"/>
      <c r="F296" s="15"/>
      <c r="G296" s="15"/>
      <c r="H296" s="16"/>
      <c r="I296" s="16"/>
      <c r="Q296" s="13"/>
      <c r="R296" s="14"/>
    </row>
    <row r="297">
      <c r="E297" s="13"/>
      <c r="F297" s="15"/>
      <c r="G297" s="15"/>
      <c r="H297" s="16"/>
      <c r="I297" s="16"/>
      <c r="Q297" s="13"/>
      <c r="R297" s="14"/>
    </row>
    <row r="298">
      <c r="E298" s="13"/>
      <c r="F298" s="15"/>
      <c r="G298" s="15"/>
      <c r="H298" s="16"/>
      <c r="I298" s="16"/>
      <c r="Q298" s="13"/>
      <c r="R298" s="14"/>
    </row>
    <row r="299">
      <c r="E299" s="13"/>
      <c r="F299" s="15"/>
      <c r="G299" s="15"/>
      <c r="H299" s="16"/>
      <c r="I299" s="16"/>
      <c r="Q299" s="13"/>
      <c r="R299" s="14"/>
    </row>
    <row r="300">
      <c r="E300" s="13"/>
      <c r="F300" s="15"/>
      <c r="G300" s="15"/>
      <c r="H300" s="16"/>
      <c r="I300" s="16"/>
      <c r="Q300" s="13"/>
      <c r="R300" s="14"/>
    </row>
    <row r="301">
      <c r="E301" s="13"/>
      <c r="F301" s="15"/>
      <c r="G301" s="15"/>
      <c r="H301" s="16"/>
      <c r="I301" s="16"/>
      <c r="Q301" s="13"/>
      <c r="R301" s="14"/>
    </row>
    <row r="302">
      <c r="E302" s="13"/>
      <c r="F302" s="15"/>
      <c r="G302" s="15"/>
      <c r="H302" s="16"/>
      <c r="I302" s="16"/>
      <c r="Q302" s="13"/>
      <c r="R302" s="14"/>
    </row>
    <row r="303">
      <c r="E303" s="13"/>
      <c r="F303" s="15"/>
      <c r="G303" s="15"/>
      <c r="H303" s="16"/>
      <c r="I303" s="16"/>
      <c r="Q303" s="13"/>
      <c r="R303" s="14"/>
    </row>
    <row r="304">
      <c r="E304" s="13"/>
      <c r="F304" s="15"/>
      <c r="G304" s="15"/>
      <c r="H304" s="16"/>
      <c r="I304" s="16"/>
      <c r="Q304" s="13"/>
      <c r="R304" s="14"/>
    </row>
    <row r="305">
      <c r="E305" s="13"/>
      <c r="F305" s="15"/>
      <c r="G305" s="15"/>
      <c r="H305" s="16"/>
      <c r="I305" s="16"/>
      <c r="Q305" s="13"/>
      <c r="R305" s="14"/>
    </row>
    <row r="306">
      <c r="E306" s="13"/>
      <c r="F306" s="15"/>
      <c r="G306" s="15"/>
      <c r="H306" s="16"/>
      <c r="I306" s="16"/>
      <c r="Q306" s="13"/>
      <c r="R306" s="14"/>
    </row>
    <row r="307">
      <c r="E307" s="13"/>
      <c r="F307" s="15"/>
      <c r="G307" s="15"/>
      <c r="H307" s="16"/>
      <c r="I307" s="16"/>
      <c r="Q307" s="13"/>
      <c r="R307" s="14"/>
    </row>
    <row r="308">
      <c r="E308" s="13"/>
      <c r="F308" s="15"/>
      <c r="G308" s="15"/>
      <c r="H308" s="16"/>
      <c r="I308" s="16"/>
      <c r="Q308" s="13"/>
      <c r="R308" s="14"/>
    </row>
    <row r="309">
      <c r="E309" s="13"/>
      <c r="F309" s="15"/>
      <c r="G309" s="15"/>
      <c r="H309" s="16"/>
      <c r="I309" s="16"/>
      <c r="Q309" s="13"/>
      <c r="R309" s="14"/>
    </row>
    <row r="310">
      <c r="E310" s="13"/>
      <c r="F310" s="15"/>
      <c r="G310" s="15"/>
      <c r="H310" s="16"/>
      <c r="I310" s="16"/>
      <c r="Q310" s="13"/>
      <c r="R310" s="14"/>
    </row>
    <row r="311">
      <c r="E311" s="13"/>
      <c r="F311" s="15"/>
      <c r="G311" s="15"/>
      <c r="H311" s="16"/>
      <c r="I311" s="16"/>
      <c r="Q311" s="13"/>
      <c r="R311" s="14"/>
    </row>
    <row r="312">
      <c r="E312" s="13"/>
      <c r="F312" s="15"/>
      <c r="G312" s="15"/>
      <c r="H312" s="16"/>
      <c r="I312" s="16"/>
      <c r="Q312" s="13"/>
      <c r="R312" s="14"/>
    </row>
    <row r="313">
      <c r="E313" s="13"/>
      <c r="F313" s="15"/>
      <c r="G313" s="15"/>
      <c r="H313" s="16"/>
      <c r="I313" s="16"/>
      <c r="Q313" s="13"/>
      <c r="R313" s="14"/>
    </row>
    <row r="314">
      <c r="E314" s="13"/>
      <c r="F314" s="15"/>
      <c r="G314" s="15"/>
      <c r="H314" s="16"/>
      <c r="I314" s="16"/>
      <c r="Q314" s="13"/>
      <c r="R314" s="14"/>
    </row>
    <row r="315">
      <c r="E315" s="13"/>
      <c r="F315" s="15"/>
      <c r="G315" s="15"/>
      <c r="H315" s="16"/>
      <c r="I315" s="16"/>
      <c r="Q315" s="13"/>
      <c r="R315" s="14"/>
    </row>
    <row r="316">
      <c r="E316" s="13"/>
      <c r="F316" s="15"/>
      <c r="G316" s="15"/>
      <c r="H316" s="16"/>
      <c r="I316" s="16"/>
      <c r="Q316" s="13"/>
      <c r="R316" s="14"/>
    </row>
    <row r="317">
      <c r="E317" s="13"/>
      <c r="F317" s="15"/>
      <c r="G317" s="15"/>
      <c r="H317" s="16"/>
      <c r="I317" s="16"/>
      <c r="Q317" s="13"/>
      <c r="R317" s="14"/>
    </row>
    <row r="318">
      <c r="E318" s="13"/>
      <c r="F318" s="15"/>
      <c r="G318" s="15"/>
      <c r="H318" s="16"/>
      <c r="I318" s="16"/>
      <c r="Q318" s="13"/>
      <c r="R318" s="14"/>
    </row>
    <row r="319">
      <c r="E319" s="13"/>
      <c r="F319" s="15"/>
      <c r="G319" s="15"/>
      <c r="H319" s="16"/>
      <c r="I319" s="16"/>
      <c r="Q319" s="13"/>
      <c r="R319" s="14"/>
    </row>
    <row r="320">
      <c r="E320" s="13"/>
      <c r="F320" s="15"/>
      <c r="G320" s="15"/>
      <c r="H320" s="16"/>
      <c r="I320" s="16"/>
      <c r="Q320" s="13"/>
      <c r="R320" s="14"/>
    </row>
    <row r="321">
      <c r="E321" s="13"/>
      <c r="F321" s="15"/>
      <c r="G321" s="15"/>
      <c r="H321" s="16"/>
      <c r="I321" s="16"/>
      <c r="Q321" s="13"/>
      <c r="R321" s="14"/>
    </row>
    <row r="322">
      <c r="E322" s="13"/>
      <c r="F322" s="15"/>
      <c r="G322" s="15"/>
      <c r="H322" s="16"/>
      <c r="I322" s="16"/>
      <c r="Q322" s="13"/>
      <c r="R322" s="14"/>
    </row>
    <row r="323">
      <c r="E323" s="13"/>
      <c r="F323" s="15"/>
      <c r="G323" s="15"/>
      <c r="H323" s="16"/>
      <c r="I323" s="16"/>
      <c r="Q323" s="13"/>
      <c r="R323" s="14"/>
    </row>
    <row r="324">
      <c r="E324" s="13"/>
      <c r="F324" s="15"/>
      <c r="G324" s="15"/>
      <c r="H324" s="16"/>
      <c r="I324" s="16"/>
      <c r="Q324" s="13"/>
      <c r="R324" s="14"/>
    </row>
    <row r="325">
      <c r="E325" s="13"/>
      <c r="F325" s="15"/>
      <c r="G325" s="15"/>
      <c r="H325" s="16"/>
      <c r="I325" s="16"/>
      <c r="Q325" s="13"/>
      <c r="R325" s="14"/>
    </row>
    <row r="326">
      <c r="E326" s="13"/>
      <c r="F326" s="15"/>
      <c r="G326" s="15"/>
      <c r="H326" s="16"/>
      <c r="I326" s="16"/>
      <c r="Q326" s="13"/>
      <c r="R326" s="14"/>
    </row>
    <row r="327">
      <c r="E327" s="13"/>
      <c r="F327" s="15"/>
      <c r="G327" s="15"/>
      <c r="H327" s="16"/>
      <c r="I327" s="16"/>
      <c r="Q327" s="13"/>
      <c r="R327" s="14"/>
    </row>
    <row r="328">
      <c r="E328" s="13"/>
      <c r="F328" s="15"/>
      <c r="G328" s="15"/>
      <c r="H328" s="16"/>
      <c r="I328" s="16"/>
      <c r="Q328" s="13"/>
      <c r="R328" s="14"/>
    </row>
    <row r="329">
      <c r="E329" s="13"/>
      <c r="F329" s="15"/>
      <c r="G329" s="15"/>
      <c r="H329" s="16"/>
      <c r="I329" s="16"/>
      <c r="Q329" s="13"/>
      <c r="R329" s="14"/>
    </row>
    <row r="330">
      <c r="E330" s="13"/>
      <c r="F330" s="15"/>
      <c r="G330" s="15"/>
      <c r="H330" s="16"/>
      <c r="I330" s="16"/>
      <c r="Q330" s="13"/>
      <c r="R330" s="14"/>
    </row>
    <row r="331">
      <c r="E331" s="13"/>
      <c r="F331" s="15"/>
      <c r="G331" s="15"/>
      <c r="H331" s="16"/>
      <c r="I331" s="16"/>
      <c r="Q331" s="13"/>
      <c r="R331" s="14"/>
    </row>
    <row r="332">
      <c r="E332" s="13"/>
      <c r="F332" s="15"/>
      <c r="G332" s="15"/>
      <c r="H332" s="16"/>
      <c r="I332" s="16"/>
      <c r="Q332" s="13"/>
      <c r="R332" s="14"/>
    </row>
    <row r="333">
      <c r="E333" s="13"/>
      <c r="F333" s="15"/>
      <c r="G333" s="15"/>
      <c r="H333" s="16"/>
      <c r="I333" s="16"/>
      <c r="Q333" s="13"/>
      <c r="R333" s="14"/>
    </row>
    <row r="334">
      <c r="E334" s="13"/>
      <c r="F334" s="15"/>
      <c r="G334" s="15"/>
      <c r="H334" s="16"/>
      <c r="I334" s="16"/>
      <c r="Q334" s="13"/>
      <c r="R334" s="14"/>
    </row>
    <row r="335">
      <c r="E335" s="13"/>
      <c r="F335" s="15"/>
      <c r="G335" s="15"/>
      <c r="H335" s="16"/>
      <c r="I335" s="16"/>
      <c r="Q335" s="13"/>
      <c r="R335" s="14"/>
    </row>
    <row r="336">
      <c r="E336" s="13"/>
      <c r="F336" s="15"/>
      <c r="G336" s="15"/>
      <c r="H336" s="16"/>
      <c r="I336" s="16"/>
      <c r="Q336" s="13"/>
      <c r="R336" s="14"/>
    </row>
    <row r="337">
      <c r="E337" s="13"/>
      <c r="F337" s="15"/>
      <c r="G337" s="15"/>
      <c r="H337" s="16"/>
      <c r="I337" s="16"/>
      <c r="Q337" s="13"/>
      <c r="R337" s="14"/>
    </row>
    <row r="338">
      <c r="E338" s="13"/>
      <c r="F338" s="15"/>
      <c r="G338" s="15"/>
      <c r="H338" s="16"/>
      <c r="I338" s="16"/>
      <c r="Q338" s="13"/>
      <c r="R338" s="14"/>
    </row>
    <row r="339">
      <c r="E339" s="13"/>
      <c r="F339" s="15"/>
      <c r="G339" s="15"/>
      <c r="H339" s="16"/>
      <c r="I339" s="16"/>
      <c r="Q339" s="13"/>
      <c r="R339" s="14"/>
    </row>
    <row r="340">
      <c r="E340" s="13"/>
      <c r="F340" s="15"/>
      <c r="G340" s="15"/>
      <c r="H340" s="16"/>
      <c r="I340" s="16"/>
      <c r="Q340" s="13"/>
      <c r="R340" s="14"/>
    </row>
    <row r="341">
      <c r="E341" s="13"/>
      <c r="F341" s="15"/>
      <c r="G341" s="15"/>
      <c r="H341" s="16"/>
      <c r="I341" s="16"/>
      <c r="Q341" s="13"/>
      <c r="R341" s="14"/>
    </row>
    <row r="342">
      <c r="E342" s="13"/>
      <c r="F342" s="15"/>
      <c r="G342" s="15"/>
      <c r="H342" s="16"/>
      <c r="I342" s="16"/>
      <c r="Q342" s="13"/>
      <c r="R342" s="14"/>
    </row>
    <row r="343">
      <c r="E343" s="13"/>
      <c r="F343" s="15"/>
      <c r="G343" s="15"/>
      <c r="H343" s="16"/>
      <c r="I343" s="16"/>
      <c r="Q343" s="13"/>
      <c r="R343" s="14"/>
    </row>
    <row r="344">
      <c r="E344" s="13"/>
      <c r="F344" s="15"/>
      <c r="G344" s="15"/>
      <c r="H344" s="16"/>
      <c r="I344" s="16"/>
      <c r="Q344" s="13"/>
      <c r="R344" s="14"/>
    </row>
    <row r="345">
      <c r="E345" s="13"/>
      <c r="F345" s="15"/>
      <c r="G345" s="15"/>
      <c r="H345" s="16"/>
      <c r="I345" s="16"/>
      <c r="Q345" s="13"/>
      <c r="R345" s="14"/>
    </row>
    <row r="346">
      <c r="E346" s="13"/>
      <c r="F346" s="15"/>
      <c r="G346" s="15"/>
      <c r="H346" s="16"/>
      <c r="I346" s="16"/>
      <c r="Q346" s="13"/>
      <c r="R346" s="14"/>
    </row>
    <row r="347">
      <c r="E347" s="13"/>
      <c r="F347" s="15"/>
      <c r="G347" s="15"/>
      <c r="H347" s="16"/>
      <c r="I347" s="16"/>
      <c r="Q347" s="13"/>
      <c r="R347" s="14"/>
    </row>
    <row r="348">
      <c r="E348" s="13"/>
      <c r="F348" s="15"/>
      <c r="G348" s="15"/>
      <c r="H348" s="16"/>
      <c r="I348" s="16"/>
      <c r="Q348" s="13"/>
      <c r="R348" s="14"/>
    </row>
    <row r="349">
      <c r="E349" s="13"/>
      <c r="F349" s="15"/>
      <c r="G349" s="15"/>
      <c r="H349" s="16"/>
      <c r="I349" s="16"/>
      <c r="Q349" s="13"/>
      <c r="R349" s="14"/>
    </row>
    <row r="350">
      <c r="E350" s="13"/>
      <c r="F350" s="15"/>
      <c r="G350" s="15"/>
      <c r="H350" s="16"/>
      <c r="I350" s="16"/>
      <c r="Q350" s="13"/>
      <c r="R350" s="14"/>
    </row>
    <row r="351">
      <c r="E351" s="13"/>
      <c r="F351" s="15"/>
      <c r="G351" s="15"/>
      <c r="H351" s="16"/>
      <c r="I351" s="16"/>
      <c r="Q351" s="13"/>
      <c r="R351" s="14"/>
    </row>
    <row r="352">
      <c r="E352" s="13"/>
      <c r="F352" s="15"/>
      <c r="G352" s="15"/>
      <c r="H352" s="16"/>
      <c r="I352" s="16"/>
      <c r="Q352" s="13"/>
      <c r="R352" s="14"/>
    </row>
    <row r="353">
      <c r="E353" s="13"/>
      <c r="F353" s="15"/>
      <c r="G353" s="15"/>
      <c r="H353" s="16"/>
      <c r="I353" s="16"/>
      <c r="Q353" s="13"/>
      <c r="R353" s="14"/>
    </row>
    <row r="354">
      <c r="E354" s="13"/>
      <c r="F354" s="15"/>
      <c r="G354" s="15"/>
      <c r="H354" s="16"/>
      <c r="I354" s="16"/>
      <c r="Q354" s="13"/>
      <c r="R354" s="14"/>
    </row>
    <row r="355">
      <c r="E355" s="13"/>
      <c r="F355" s="15"/>
      <c r="G355" s="15"/>
      <c r="H355" s="16"/>
      <c r="I355" s="16"/>
      <c r="Q355" s="13"/>
      <c r="R355" s="14"/>
    </row>
    <row r="356">
      <c r="E356" s="13"/>
      <c r="F356" s="15"/>
      <c r="G356" s="15"/>
      <c r="H356" s="16"/>
      <c r="I356" s="16"/>
      <c r="Q356" s="13"/>
      <c r="R356" s="14"/>
    </row>
    <row r="357">
      <c r="E357" s="13"/>
      <c r="F357" s="15"/>
      <c r="G357" s="15"/>
      <c r="H357" s="16"/>
      <c r="I357" s="16"/>
      <c r="Q357" s="13"/>
      <c r="R357" s="14"/>
    </row>
    <row r="358">
      <c r="E358" s="13"/>
      <c r="F358" s="15"/>
      <c r="G358" s="15"/>
      <c r="H358" s="16"/>
      <c r="I358" s="16"/>
      <c r="Q358" s="13"/>
      <c r="R358" s="14"/>
    </row>
    <row r="359">
      <c r="E359" s="13"/>
      <c r="F359" s="15"/>
      <c r="G359" s="15"/>
      <c r="H359" s="16"/>
      <c r="I359" s="16"/>
      <c r="Q359" s="13"/>
      <c r="R359" s="14"/>
    </row>
    <row r="360">
      <c r="E360" s="13"/>
      <c r="F360" s="15"/>
      <c r="G360" s="15"/>
      <c r="H360" s="16"/>
      <c r="I360" s="16"/>
      <c r="Q360" s="13"/>
      <c r="R360" s="14"/>
    </row>
    <row r="361">
      <c r="E361" s="13"/>
      <c r="F361" s="15"/>
      <c r="G361" s="15"/>
      <c r="H361" s="16"/>
      <c r="I361" s="16"/>
      <c r="Q361" s="13"/>
      <c r="R361" s="14"/>
    </row>
    <row r="362">
      <c r="E362" s="13"/>
      <c r="F362" s="15"/>
      <c r="G362" s="15"/>
      <c r="H362" s="16"/>
      <c r="I362" s="16"/>
      <c r="Q362" s="13"/>
      <c r="R362" s="14"/>
    </row>
    <row r="363">
      <c r="E363" s="13"/>
      <c r="F363" s="15"/>
      <c r="G363" s="15"/>
      <c r="H363" s="16"/>
      <c r="I363" s="16"/>
      <c r="Q363" s="13"/>
      <c r="R363" s="14"/>
    </row>
    <row r="364">
      <c r="E364" s="13"/>
      <c r="F364" s="15"/>
      <c r="G364" s="15"/>
      <c r="H364" s="16"/>
      <c r="I364" s="16"/>
      <c r="Q364" s="13"/>
      <c r="R364" s="14"/>
    </row>
    <row r="365">
      <c r="E365" s="13"/>
      <c r="F365" s="15"/>
      <c r="G365" s="15"/>
      <c r="H365" s="16"/>
      <c r="I365" s="16"/>
      <c r="Q365" s="13"/>
      <c r="R365" s="14"/>
    </row>
    <row r="366">
      <c r="E366" s="13"/>
      <c r="F366" s="15"/>
      <c r="G366" s="15"/>
      <c r="H366" s="16"/>
      <c r="I366" s="16"/>
      <c r="Q366" s="13"/>
      <c r="R366" s="14"/>
    </row>
    <row r="367">
      <c r="E367" s="13"/>
      <c r="F367" s="15"/>
      <c r="G367" s="15"/>
      <c r="H367" s="16"/>
      <c r="I367" s="16"/>
      <c r="Q367" s="13"/>
      <c r="R367" s="14"/>
    </row>
    <row r="368">
      <c r="E368" s="13"/>
      <c r="F368" s="15"/>
      <c r="G368" s="15"/>
      <c r="H368" s="16"/>
      <c r="I368" s="16"/>
      <c r="Q368" s="13"/>
      <c r="R368" s="14"/>
    </row>
    <row r="369">
      <c r="E369" s="13"/>
      <c r="F369" s="15"/>
      <c r="G369" s="15"/>
      <c r="H369" s="16"/>
      <c r="I369" s="16"/>
      <c r="Q369" s="13"/>
      <c r="R369" s="14"/>
    </row>
    <row r="370">
      <c r="E370" s="13"/>
      <c r="F370" s="15"/>
      <c r="G370" s="15"/>
      <c r="H370" s="16"/>
      <c r="I370" s="16"/>
      <c r="Q370" s="13"/>
      <c r="R370" s="14"/>
    </row>
    <row r="371">
      <c r="E371" s="13"/>
      <c r="F371" s="15"/>
      <c r="G371" s="15"/>
      <c r="H371" s="16"/>
      <c r="I371" s="16"/>
      <c r="Q371" s="13"/>
      <c r="R371" s="14"/>
    </row>
    <row r="372">
      <c r="E372" s="13"/>
      <c r="F372" s="15"/>
      <c r="G372" s="15"/>
      <c r="H372" s="16"/>
      <c r="I372" s="16"/>
      <c r="Q372" s="13"/>
      <c r="R372" s="14"/>
    </row>
    <row r="373">
      <c r="E373" s="13"/>
      <c r="F373" s="15"/>
      <c r="G373" s="15"/>
      <c r="H373" s="16"/>
      <c r="I373" s="16"/>
      <c r="Q373" s="13"/>
      <c r="R373" s="14"/>
    </row>
    <row r="374">
      <c r="E374" s="13"/>
      <c r="F374" s="15"/>
      <c r="G374" s="15"/>
      <c r="H374" s="16"/>
      <c r="I374" s="16"/>
      <c r="Q374" s="13"/>
      <c r="R374" s="14"/>
    </row>
    <row r="375">
      <c r="E375" s="13"/>
      <c r="F375" s="15"/>
      <c r="G375" s="15"/>
      <c r="H375" s="16"/>
      <c r="I375" s="16"/>
      <c r="Q375" s="13"/>
      <c r="R375" s="14"/>
    </row>
    <row r="376">
      <c r="E376" s="13"/>
      <c r="F376" s="15"/>
      <c r="G376" s="15"/>
      <c r="H376" s="16"/>
      <c r="I376" s="16"/>
      <c r="Q376" s="13"/>
      <c r="R376" s="14"/>
    </row>
    <row r="377">
      <c r="E377" s="13"/>
      <c r="F377" s="15"/>
      <c r="G377" s="15"/>
      <c r="H377" s="16"/>
      <c r="I377" s="16"/>
      <c r="Q377" s="13"/>
      <c r="R377" s="14"/>
    </row>
    <row r="378">
      <c r="E378" s="13"/>
      <c r="F378" s="15"/>
      <c r="G378" s="15"/>
      <c r="H378" s="16"/>
      <c r="I378" s="16"/>
      <c r="Q378" s="13"/>
      <c r="R378" s="14"/>
    </row>
    <row r="379">
      <c r="E379" s="13"/>
      <c r="F379" s="15"/>
      <c r="G379" s="15"/>
      <c r="H379" s="16"/>
      <c r="I379" s="16"/>
      <c r="Q379" s="13"/>
      <c r="R379" s="14"/>
    </row>
    <row r="380">
      <c r="E380" s="13"/>
      <c r="F380" s="15"/>
      <c r="G380" s="15"/>
      <c r="H380" s="16"/>
      <c r="I380" s="16"/>
      <c r="Q380" s="13"/>
      <c r="R380" s="14"/>
    </row>
    <row r="381">
      <c r="E381" s="13"/>
      <c r="F381" s="15"/>
      <c r="G381" s="15"/>
      <c r="H381" s="16"/>
      <c r="I381" s="16"/>
      <c r="Q381" s="13"/>
      <c r="R381" s="14"/>
    </row>
    <row r="382">
      <c r="E382" s="13"/>
      <c r="F382" s="15"/>
      <c r="G382" s="15"/>
      <c r="H382" s="16"/>
      <c r="I382" s="16"/>
      <c r="Q382" s="13"/>
      <c r="R382" s="14"/>
    </row>
    <row r="383">
      <c r="E383" s="13"/>
      <c r="F383" s="15"/>
      <c r="G383" s="15"/>
      <c r="H383" s="16"/>
      <c r="I383" s="16"/>
      <c r="Q383" s="13"/>
      <c r="R383" s="14"/>
    </row>
    <row r="384">
      <c r="E384" s="13"/>
      <c r="F384" s="15"/>
      <c r="G384" s="15"/>
      <c r="H384" s="16"/>
      <c r="I384" s="16"/>
      <c r="Q384" s="13"/>
      <c r="R384" s="14"/>
    </row>
    <row r="385">
      <c r="E385" s="13"/>
      <c r="F385" s="15"/>
      <c r="G385" s="15"/>
      <c r="H385" s="16"/>
      <c r="I385" s="16"/>
      <c r="Q385" s="13"/>
      <c r="R385" s="14"/>
    </row>
    <row r="386">
      <c r="E386" s="13"/>
      <c r="F386" s="15"/>
      <c r="G386" s="15"/>
      <c r="H386" s="16"/>
      <c r="I386" s="16"/>
      <c r="Q386" s="13"/>
      <c r="R386" s="14"/>
    </row>
    <row r="387">
      <c r="E387" s="13"/>
      <c r="F387" s="15"/>
      <c r="G387" s="15"/>
      <c r="H387" s="16"/>
      <c r="I387" s="16"/>
      <c r="Q387" s="13"/>
      <c r="R387" s="14"/>
    </row>
    <row r="388">
      <c r="E388" s="13"/>
      <c r="F388" s="15"/>
      <c r="G388" s="15"/>
      <c r="H388" s="16"/>
      <c r="I388" s="16"/>
      <c r="Q388" s="13"/>
      <c r="R388" s="14"/>
    </row>
    <row r="389">
      <c r="E389" s="13"/>
      <c r="F389" s="15"/>
      <c r="G389" s="15"/>
      <c r="H389" s="16"/>
      <c r="I389" s="16"/>
      <c r="Q389" s="13"/>
      <c r="R389" s="14"/>
    </row>
    <row r="390">
      <c r="E390" s="13"/>
      <c r="F390" s="15"/>
      <c r="G390" s="15"/>
      <c r="H390" s="16"/>
      <c r="I390" s="16"/>
      <c r="Q390" s="13"/>
      <c r="R390" s="14"/>
    </row>
    <row r="391">
      <c r="E391" s="13"/>
      <c r="F391" s="15"/>
      <c r="G391" s="15"/>
      <c r="H391" s="16"/>
      <c r="I391" s="16"/>
      <c r="Q391" s="13"/>
      <c r="R391" s="14"/>
    </row>
    <row r="392">
      <c r="E392" s="13"/>
      <c r="F392" s="15"/>
      <c r="G392" s="15"/>
      <c r="H392" s="16"/>
      <c r="I392" s="16"/>
      <c r="Q392" s="13"/>
      <c r="R392" s="14"/>
    </row>
    <row r="393">
      <c r="E393" s="13"/>
      <c r="F393" s="15"/>
      <c r="G393" s="15"/>
      <c r="H393" s="16"/>
      <c r="I393" s="16"/>
      <c r="Q393" s="13"/>
      <c r="R393" s="14"/>
    </row>
    <row r="394">
      <c r="E394" s="13"/>
      <c r="F394" s="15"/>
      <c r="G394" s="15"/>
      <c r="H394" s="16"/>
      <c r="I394" s="16"/>
      <c r="Q394" s="13"/>
      <c r="R394" s="14"/>
    </row>
    <row r="395">
      <c r="E395" s="13"/>
      <c r="F395" s="15"/>
      <c r="G395" s="15"/>
      <c r="H395" s="16"/>
      <c r="I395" s="16"/>
      <c r="Q395" s="13"/>
      <c r="R395" s="14"/>
    </row>
    <row r="396">
      <c r="E396" s="13"/>
      <c r="F396" s="15"/>
      <c r="G396" s="15"/>
      <c r="H396" s="16"/>
      <c r="I396" s="16"/>
      <c r="Q396" s="13"/>
      <c r="R396" s="14"/>
    </row>
    <row r="397">
      <c r="E397" s="13"/>
      <c r="F397" s="15"/>
      <c r="G397" s="15"/>
      <c r="H397" s="16"/>
      <c r="I397" s="16"/>
      <c r="Q397" s="13"/>
      <c r="R397" s="14"/>
    </row>
    <row r="398">
      <c r="E398" s="13"/>
      <c r="F398" s="15"/>
      <c r="G398" s="15"/>
      <c r="H398" s="16"/>
      <c r="I398" s="16"/>
      <c r="Q398" s="13"/>
      <c r="R398" s="14"/>
    </row>
    <row r="399">
      <c r="E399" s="13"/>
      <c r="F399" s="15"/>
      <c r="G399" s="15"/>
      <c r="H399" s="16"/>
      <c r="I399" s="16"/>
      <c r="Q399" s="13"/>
      <c r="R399" s="14"/>
    </row>
    <row r="400">
      <c r="E400" s="13"/>
      <c r="F400" s="15"/>
      <c r="G400" s="15"/>
      <c r="H400" s="16"/>
      <c r="I400" s="16"/>
      <c r="Q400" s="13"/>
      <c r="R400" s="14"/>
    </row>
    <row r="401">
      <c r="E401" s="13"/>
      <c r="F401" s="15"/>
      <c r="G401" s="15"/>
      <c r="H401" s="16"/>
      <c r="I401" s="16"/>
      <c r="Q401" s="13"/>
      <c r="R401" s="14"/>
    </row>
    <row r="402">
      <c r="E402" s="13"/>
      <c r="F402" s="15"/>
      <c r="G402" s="15"/>
      <c r="H402" s="16"/>
      <c r="I402" s="16"/>
      <c r="Q402" s="13"/>
      <c r="R402" s="14"/>
    </row>
    <row r="403">
      <c r="E403" s="13"/>
      <c r="F403" s="15"/>
      <c r="G403" s="15"/>
      <c r="H403" s="16"/>
      <c r="I403" s="16"/>
      <c r="Q403" s="13"/>
      <c r="R403" s="14"/>
    </row>
    <row r="404">
      <c r="E404" s="13"/>
      <c r="F404" s="15"/>
      <c r="G404" s="15"/>
      <c r="H404" s="16"/>
      <c r="I404" s="16"/>
      <c r="Q404" s="13"/>
      <c r="R404" s="14"/>
    </row>
    <row r="405">
      <c r="E405" s="13"/>
      <c r="F405" s="15"/>
      <c r="G405" s="15"/>
      <c r="H405" s="16"/>
      <c r="I405" s="16"/>
      <c r="Q405" s="13"/>
      <c r="R405" s="14"/>
    </row>
    <row r="406">
      <c r="E406" s="13"/>
      <c r="F406" s="15"/>
      <c r="G406" s="15"/>
      <c r="H406" s="16"/>
      <c r="I406" s="16"/>
      <c r="Q406" s="13"/>
      <c r="R406" s="14"/>
    </row>
    <row r="407">
      <c r="E407" s="13"/>
      <c r="F407" s="15"/>
      <c r="G407" s="15"/>
      <c r="H407" s="16"/>
      <c r="I407" s="16"/>
      <c r="Q407" s="13"/>
      <c r="R407" s="14"/>
    </row>
    <row r="408">
      <c r="E408" s="13"/>
      <c r="F408" s="15"/>
      <c r="G408" s="15"/>
      <c r="H408" s="16"/>
      <c r="I408" s="16"/>
      <c r="Q408" s="13"/>
      <c r="R408" s="14"/>
    </row>
    <row r="409">
      <c r="E409" s="13"/>
      <c r="F409" s="15"/>
      <c r="G409" s="15"/>
      <c r="H409" s="16"/>
      <c r="I409" s="16"/>
      <c r="Q409" s="13"/>
      <c r="R409" s="14"/>
    </row>
    <row r="410">
      <c r="E410" s="13"/>
      <c r="F410" s="15"/>
      <c r="G410" s="15"/>
      <c r="H410" s="16"/>
      <c r="I410" s="16"/>
      <c r="Q410" s="13"/>
      <c r="R410" s="14"/>
    </row>
    <row r="411">
      <c r="E411" s="13"/>
      <c r="F411" s="15"/>
      <c r="G411" s="15"/>
      <c r="H411" s="16"/>
      <c r="I411" s="16"/>
      <c r="Q411" s="13"/>
      <c r="R411" s="14"/>
    </row>
    <row r="412">
      <c r="E412" s="13"/>
      <c r="F412" s="15"/>
      <c r="G412" s="15"/>
      <c r="H412" s="16"/>
      <c r="I412" s="16"/>
      <c r="Q412" s="13"/>
      <c r="R412" s="14"/>
    </row>
    <row r="413">
      <c r="E413" s="13"/>
      <c r="F413" s="15"/>
      <c r="G413" s="15"/>
      <c r="H413" s="16"/>
      <c r="I413" s="16"/>
      <c r="Q413" s="13"/>
      <c r="R413" s="14"/>
    </row>
    <row r="414">
      <c r="E414" s="13"/>
      <c r="F414" s="15"/>
      <c r="G414" s="15"/>
      <c r="H414" s="16"/>
      <c r="I414" s="16"/>
      <c r="Q414" s="13"/>
      <c r="R414" s="14"/>
    </row>
    <row r="415">
      <c r="E415" s="13"/>
      <c r="F415" s="15"/>
      <c r="G415" s="15"/>
      <c r="H415" s="16"/>
      <c r="I415" s="16"/>
      <c r="Q415" s="13"/>
      <c r="R415" s="14"/>
    </row>
    <row r="416">
      <c r="E416" s="13"/>
      <c r="F416" s="15"/>
      <c r="G416" s="15"/>
      <c r="H416" s="16"/>
      <c r="I416" s="16"/>
      <c r="Q416" s="13"/>
      <c r="R416" s="14"/>
    </row>
    <row r="417">
      <c r="E417" s="13"/>
      <c r="F417" s="15"/>
      <c r="G417" s="15"/>
      <c r="H417" s="16"/>
      <c r="I417" s="16"/>
      <c r="Q417" s="13"/>
      <c r="R417" s="14"/>
    </row>
    <row r="418">
      <c r="E418" s="13"/>
      <c r="F418" s="15"/>
      <c r="G418" s="15"/>
      <c r="H418" s="16"/>
      <c r="I418" s="16"/>
      <c r="Q418" s="13"/>
      <c r="R418" s="14"/>
    </row>
    <row r="419">
      <c r="E419" s="13"/>
      <c r="F419" s="15"/>
      <c r="G419" s="15"/>
      <c r="H419" s="16"/>
      <c r="I419" s="16"/>
      <c r="Q419" s="13"/>
      <c r="R419" s="14"/>
    </row>
    <row r="420">
      <c r="E420" s="13"/>
      <c r="F420" s="15"/>
      <c r="G420" s="15"/>
      <c r="H420" s="16"/>
      <c r="I420" s="16"/>
      <c r="Q420" s="13"/>
      <c r="R420" s="14"/>
    </row>
    <row r="421">
      <c r="E421" s="13"/>
      <c r="F421" s="15"/>
      <c r="G421" s="15"/>
      <c r="H421" s="16"/>
      <c r="I421" s="16"/>
      <c r="Q421" s="13"/>
      <c r="R421" s="14"/>
    </row>
    <row r="422">
      <c r="E422" s="13"/>
      <c r="F422" s="15"/>
      <c r="G422" s="15"/>
      <c r="H422" s="16"/>
      <c r="I422" s="16"/>
      <c r="Q422" s="13"/>
      <c r="R422" s="14"/>
    </row>
    <row r="423">
      <c r="E423" s="13"/>
      <c r="F423" s="15"/>
      <c r="G423" s="15"/>
      <c r="H423" s="16"/>
      <c r="I423" s="16"/>
      <c r="Q423" s="13"/>
      <c r="R423" s="14"/>
    </row>
    <row r="424">
      <c r="E424" s="13"/>
      <c r="F424" s="15"/>
      <c r="G424" s="15"/>
      <c r="H424" s="16"/>
      <c r="I424" s="16"/>
      <c r="Q424" s="13"/>
      <c r="R424" s="14"/>
    </row>
    <row r="425">
      <c r="E425" s="13"/>
      <c r="F425" s="15"/>
      <c r="G425" s="15"/>
      <c r="H425" s="16"/>
      <c r="I425" s="16"/>
      <c r="Q425" s="13"/>
      <c r="R425" s="14"/>
    </row>
    <row r="426">
      <c r="E426" s="13"/>
      <c r="F426" s="15"/>
      <c r="G426" s="15"/>
      <c r="H426" s="16"/>
      <c r="I426" s="16"/>
      <c r="Q426" s="13"/>
      <c r="R426" s="14"/>
    </row>
    <row r="427">
      <c r="E427" s="13"/>
      <c r="F427" s="15"/>
      <c r="G427" s="15"/>
      <c r="H427" s="16"/>
      <c r="I427" s="16"/>
      <c r="Q427" s="13"/>
      <c r="R427" s="14"/>
    </row>
    <row r="428">
      <c r="E428" s="13"/>
      <c r="F428" s="15"/>
      <c r="G428" s="15"/>
      <c r="H428" s="16"/>
      <c r="I428" s="16"/>
      <c r="Q428" s="13"/>
      <c r="R428" s="14"/>
    </row>
    <row r="429">
      <c r="E429" s="13"/>
      <c r="F429" s="15"/>
      <c r="G429" s="15"/>
      <c r="H429" s="16"/>
      <c r="I429" s="16"/>
      <c r="Q429" s="13"/>
      <c r="R429" s="14"/>
    </row>
    <row r="430">
      <c r="E430" s="13"/>
      <c r="F430" s="15"/>
      <c r="G430" s="15"/>
      <c r="H430" s="16"/>
      <c r="I430" s="16"/>
      <c r="Q430" s="13"/>
      <c r="R430" s="14"/>
    </row>
    <row r="431">
      <c r="E431" s="13"/>
      <c r="F431" s="15"/>
      <c r="G431" s="15"/>
      <c r="H431" s="16"/>
      <c r="I431" s="16"/>
      <c r="Q431" s="13"/>
      <c r="R431" s="14"/>
    </row>
    <row r="432">
      <c r="E432" s="13"/>
      <c r="F432" s="15"/>
      <c r="G432" s="15"/>
      <c r="H432" s="16"/>
      <c r="I432" s="16"/>
      <c r="Q432" s="13"/>
      <c r="R432" s="14"/>
    </row>
    <row r="433">
      <c r="E433" s="13"/>
      <c r="F433" s="15"/>
      <c r="G433" s="15"/>
      <c r="H433" s="16"/>
      <c r="I433" s="16"/>
      <c r="Q433" s="13"/>
      <c r="R433" s="14"/>
    </row>
    <row r="434">
      <c r="E434" s="13"/>
      <c r="F434" s="15"/>
      <c r="G434" s="15"/>
      <c r="H434" s="16"/>
      <c r="I434" s="16"/>
      <c r="Q434" s="13"/>
      <c r="R434" s="14"/>
    </row>
    <row r="435">
      <c r="E435" s="13"/>
      <c r="F435" s="15"/>
      <c r="G435" s="15"/>
      <c r="H435" s="16"/>
      <c r="I435" s="16"/>
      <c r="Q435" s="13"/>
      <c r="R435" s="14"/>
    </row>
    <row r="436">
      <c r="E436" s="13"/>
      <c r="F436" s="15"/>
      <c r="G436" s="15"/>
      <c r="H436" s="16"/>
      <c r="I436" s="16"/>
      <c r="Q436" s="13"/>
      <c r="R436" s="14"/>
    </row>
    <row r="437">
      <c r="E437" s="13"/>
      <c r="F437" s="15"/>
      <c r="G437" s="15"/>
      <c r="H437" s="16"/>
      <c r="I437" s="16"/>
      <c r="Q437" s="13"/>
      <c r="R437" s="14"/>
    </row>
    <row r="438">
      <c r="E438" s="13"/>
      <c r="F438" s="15"/>
      <c r="G438" s="15"/>
      <c r="H438" s="16"/>
      <c r="I438" s="16"/>
      <c r="Q438" s="13"/>
      <c r="R438" s="14"/>
    </row>
    <row r="439">
      <c r="E439" s="13"/>
      <c r="F439" s="15"/>
      <c r="G439" s="15"/>
      <c r="H439" s="16"/>
      <c r="I439" s="16"/>
      <c r="Q439" s="13"/>
      <c r="R439" s="14"/>
    </row>
    <row r="440">
      <c r="E440" s="13"/>
      <c r="F440" s="15"/>
      <c r="G440" s="15"/>
      <c r="H440" s="16"/>
      <c r="I440" s="16"/>
      <c r="Q440" s="13"/>
      <c r="R440" s="14"/>
    </row>
    <row r="441">
      <c r="E441" s="13"/>
      <c r="F441" s="15"/>
      <c r="G441" s="15"/>
      <c r="H441" s="16"/>
      <c r="I441" s="16"/>
      <c r="Q441" s="13"/>
      <c r="R441" s="14"/>
    </row>
    <row r="442">
      <c r="E442" s="13"/>
      <c r="F442" s="15"/>
      <c r="G442" s="15"/>
      <c r="H442" s="16"/>
      <c r="I442" s="16"/>
      <c r="Q442" s="13"/>
      <c r="R442" s="14"/>
    </row>
    <row r="443">
      <c r="E443" s="13"/>
      <c r="F443" s="15"/>
      <c r="G443" s="15"/>
      <c r="H443" s="16"/>
      <c r="I443" s="16"/>
      <c r="Q443" s="13"/>
      <c r="R443" s="14"/>
    </row>
    <row r="444">
      <c r="E444" s="13"/>
      <c r="F444" s="15"/>
      <c r="G444" s="15"/>
      <c r="H444" s="16"/>
      <c r="I444" s="16"/>
      <c r="Q444" s="13"/>
      <c r="R444" s="14"/>
    </row>
    <row r="445">
      <c r="E445" s="13"/>
      <c r="F445" s="15"/>
      <c r="G445" s="15"/>
      <c r="H445" s="16"/>
      <c r="I445" s="16"/>
      <c r="Q445" s="13"/>
      <c r="R445" s="14"/>
    </row>
    <row r="446">
      <c r="E446" s="13"/>
      <c r="F446" s="15"/>
      <c r="G446" s="15"/>
      <c r="H446" s="16"/>
      <c r="I446" s="16"/>
      <c r="Q446" s="13"/>
      <c r="R446" s="14"/>
    </row>
    <row r="447">
      <c r="E447" s="13"/>
      <c r="F447" s="15"/>
      <c r="G447" s="15"/>
      <c r="H447" s="16"/>
      <c r="I447" s="16"/>
      <c r="Q447" s="13"/>
      <c r="R447" s="14"/>
    </row>
    <row r="448">
      <c r="E448" s="13"/>
      <c r="F448" s="15"/>
      <c r="G448" s="15"/>
      <c r="H448" s="16"/>
      <c r="I448" s="16"/>
      <c r="Q448" s="13"/>
      <c r="R448" s="14"/>
    </row>
    <row r="449">
      <c r="E449" s="13"/>
      <c r="F449" s="15"/>
      <c r="G449" s="15"/>
      <c r="H449" s="16"/>
      <c r="I449" s="16"/>
      <c r="Q449" s="13"/>
      <c r="R449" s="14"/>
    </row>
    <row r="450">
      <c r="E450" s="13"/>
      <c r="F450" s="15"/>
      <c r="G450" s="15"/>
      <c r="H450" s="16"/>
      <c r="I450" s="16"/>
      <c r="Q450" s="13"/>
      <c r="R450" s="14"/>
    </row>
    <row r="451">
      <c r="E451" s="13"/>
      <c r="F451" s="15"/>
      <c r="G451" s="15"/>
      <c r="H451" s="16"/>
      <c r="I451" s="16"/>
      <c r="Q451" s="13"/>
      <c r="R451" s="14"/>
    </row>
    <row r="452">
      <c r="E452" s="13"/>
      <c r="F452" s="15"/>
      <c r="G452" s="15"/>
      <c r="H452" s="16"/>
      <c r="I452" s="16"/>
      <c r="Q452" s="13"/>
      <c r="R452" s="14"/>
    </row>
    <row r="453">
      <c r="E453" s="13"/>
      <c r="F453" s="15"/>
      <c r="G453" s="15"/>
      <c r="H453" s="16"/>
      <c r="I453" s="16"/>
      <c r="Q453" s="13"/>
      <c r="R453" s="14"/>
    </row>
    <row r="454">
      <c r="E454" s="13"/>
      <c r="F454" s="15"/>
      <c r="G454" s="15"/>
      <c r="H454" s="16"/>
      <c r="I454" s="16"/>
      <c r="Q454" s="13"/>
      <c r="R454" s="14"/>
    </row>
    <row r="455">
      <c r="E455" s="13"/>
      <c r="F455" s="15"/>
      <c r="G455" s="15"/>
      <c r="H455" s="16"/>
      <c r="I455" s="16"/>
      <c r="Q455" s="13"/>
      <c r="R455" s="14"/>
    </row>
    <row r="456">
      <c r="E456" s="13"/>
      <c r="F456" s="15"/>
      <c r="G456" s="15"/>
      <c r="H456" s="16"/>
      <c r="I456" s="16"/>
      <c r="Q456" s="13"/>
      <c r="R456" s="14"/>
    </row>
    <row r="457">
      <c r="E457" s="13"/>
      <c r="F457" s="15"/>
      <c r="G457" s="15"/>
      <c r="H457" s="16"/>
      <c r="I457" s="16"/>
      <c r="Q457" s="13"/>
      <c r="R457" s="14"/>
    </row>
    <row r="458">
      <c r="E458" s="13"/>
      <c r="F458" s="15"/>
      <c r="G458" s="15"/>
      <c r="H458" s="16"/>
      <c r="I458" s="16"/>
      <c r="Q458" s="13"/>
      <c r="R458" s="14"/>
    </row>
    <row r="459">
      <c r="E459" s="13"/>
      <c r="F459" s="15"/>
      <c r="G459" s="15"/>
      <c r="H459" s="16"/>
      <c r="I459" s="16"/>
      <c r="Q459" s="13"/>
      <c r="R459" s="14"/>
    </row>
    <row r="460">
      <c r="E460" s="13"/>
      <c r="F460" s="15"/>
      <c r="G460" s="15"/>
      <c r="H460" s="16"/>
      <c r="I460" s="16"/>
      <c r="Q460" s="13"/>
      <c r="R460" s="14"/>
    </row>
    <row r="461">
      <c r="E461" s="13"/>
      <c r="F461" s="15"/>
      <c r="G461" s="15"/>
      <c r="H461" s="16"/>
      <c r="I461" s="16"/>
      <c r="Q461" s="13"/>
      <c r="R461" s="14"/>
    </row>
    <row r="462">
      <c r="E462" s="13"/>
      <c r="F462" s="15"/>
      <c r="G462" s="15"/>
      <c r="H462" s="16"/>
      <c r="I462" s="16"/>
      <c r="Q462" s="13"/>
      <c r="R462" s="14"/>
    </row>
    <row r="463">
      <c r="E463" s="13"/>
      <c r="F463" s="15"/>
      <c r="G463" s="15"/>
      <c r="H463" s="16"/>
      <c r="I463" s="16"/>
      <c r="Q463" s="13"/>
      <c r="R463" s="14"/>
    </row>
    <row r="464">
      <c r="E464" s="13"/>
      <c r="F464" s="15"/>
      <c r="G464" s="15"/>
      <c r="H464" s="16"/>
      <c r="I464" s="16"/>
      <c r="Q464" s="13"/>
      <c r="R464" s="14"/>
    </row>
    <row r="465">
      <c r="E465" s="13"/>
      <c r="F465" s="15"/>
      <c r="G465" s="15"/>
      <c r="H465" s="16"/>
      <c r="I465" s="16"/>
      <c r="Q465" s="13"/>
      <c r="R465" s="14"/>
    </row>
    <row r="466">
      <c r="E466" s="13"/>
      <c r="F466" s="15"/>
      <c r="G466" s="15"/>
      <c r="H466" s="16"/>
      <c r="I466" s="16"/>
      <c r="Q466" s="13"/>
      <c r="R466" s="14"/>
    </row>
    <row r="467">
      <c r="E467" s="13"/>
      <c r="F467" s="15"/>
      <c r="G467" s="15"/>
      <c r="H467" s="16"/>
      <c r="I467" s="16"/>
      <c r="Q467" s="13"/>
      <c r="R467" s="14"/>
    </row>
    <row r="468">
      <c r="E468" s="13"/>
      <c r="F468" s="15"/>
      <c r="G468" s="15"/>
      <c r="H468" s="16"/>
      <c r="I468" s="16"/>
      <c r="Q468" s="13"/>
      <c r="R468" s="14"/>
    </row>
    <row r="469">
      <c r="E469" s="13"/>
      <c r="F469" s="15"/>
      <c r="G469" s="15"/>
      <c r="H469" s="16"/>
      <c r="I469" s="16"/>
      <c r="Q469" s="13"/>
      <c r="R469" s="14"/>
    </row>
    <row r="470">
      <c r="E470" s="13"/>
      <c r="F470" s="15"/>
      <c r="G470" s="15"/>
      <c r="H470" s="16"/>
      <c r="I470" s="16"/>
      <c r="Q470" s="13"/>
      <c r="R470" s="14"/>
    </row>
    <row r="471">
      <c r="E471" s="13"/>
      <c r="F471" s="15"/>
      <c r="G471" s="15"/>
      <c r="H471" s="16"/>
      <c r="I471" s="16"/>
      <c r="Q471" s="13"/>
      <c r="R471" s="14"/>
    </row>
    <row r="472">
      <c r="E472" s="13"/>
      <c r="F472" s="15"/>
      <c r="G472" s="15"/>
      <c r="H472" s="16"/>
      <c r="I472" s="16"/>
      <c r="Q472" s="13"/>
      <c r="R472" s="14"/>
    </row>
    <row r="473">
      <c r="E473" s="13"/>
      <c r="F473" s="15"/>
      <c r="G473" s="15"/>
      <c r="H473" s="16"/>
      <c r="I473" s="16"/>
      <c r="Q473" s="13"/>
      <c r="R473" s="14"/>
    </row>
    <row r="474">
      <c r="E474" s="13"/>
      <c r="F474" s="15"/>
      <c r="G474" s="15"/>
      <c r="H474" s="16"/>
      <c r="I474" s="16"/>
      <c r="Q474" s="13"/>
      <c r="R474" s="14"/>
    </row>
    <row r="475">
      <c r="E475" s="13"/>
      <c r="F475" s="15"/>
      <c r="G475" s="15"/>
      <c r="H475" s="16"/>
      <c r="I475" s="16"/>
      <c r="Q475" s="13"/>
      <c r="R475" s="14"/>
    </row>
    <row r="476">
      <c r="E476" s="13"/>
      <c r="F476" s="15"/>
      <c r="G476" s="15"/>
      <c r="H476" s="16"/>
      <c r="I476" s="16"/>
      <c r="Q476" s="13"/>
      <c r="R476" s="14"/>
    </row>
    <row r="477">
      <c r="E477" s="13"/>
      <c r="F477" s="15"/>
      <c r="G477" s="15"/>
      <c r="H477" s="16"/>
      <c r="I477" s="16"/>
      <c r="Q477" s="13"/>
      <c r="R477" s="14"/>
    </row>
    <row r="478">
      <c r="E478" s="13"/>
      <c r="F478" s="15"/>
      <c r="G478" s="15"/>
      <c r="H478" s="16"/>
      <c r="I478" s="16"/>
      <c r="Q478" s="13"/>
      <c r="R478" s="14"/>
    </row>
    <row r="479">
      <c r="E479" s="13"/>
      <c r="F479" s="15"/>
      <c r="G479" s="15"/>
      <c r="H479" s="16"/>
      <c r="I479" s="16"/>
      <c r="Q479" s="13"/>
      <c r="R479" s="14"/>
    </row>
    <row r="480">
      <c r="E480" s="13"/>
      <c r="F480" s="15"/>
      <c r="G480" s="15"/>
      <c r="H480" s="16"/>
      <c r="I480" s="16"/>
      <c r="Q480" s="13"/>
      <c r="R480" s="14"/>
    </row>
    <row r="481">
      <c r="E481" s="13"/>
      <c r="F481" s="15"/>
      <c r="G481" s="15"/>
      <c r="H481" s="16"/>
      <c r="I481" s="16"/>
      <c r="Q481" s="13"/>
      <c r="R481" s="14"/>
    </row>
    <row r="482">
      <c r="E482" s="13"/>
      <c r="F482" s="15"/>
      <c r="G482" s="15"/>
      <c r="H482" s="16"/>
      <c r="I482" s="16"/>
      <c r="Q482" s="13"/>
      <c r="R482" s="14"/>
    </row>
    <row r="483">
      <c r="E483" s="13"/>
      <c r="F483" s="15"/>
      <c r="G483" s="15"/>
      <c r="H483" s="16"/>
      <c r="I483" s="16"/>
      <c r="Q483" s="13"/>
      <c r="R483" s="14"/>
    </row>
    <row r="484">
      <c r="E484" s="13"/>
      <c r="F484" s="15"/>
      <c r="G484" s="15"/>
      <c r="H484" s="16"/>
      <c r="I484" s="16"/>
      <c r="Q484" s="13"/>
      <c r="R484" s="14"/>
    </row>
    <row r="485">
      <c r="E485" s="13"/>
      <c r="F485" s="15"/>
      <c r="G485" s="15"/>
      <c r="H485" s="16"/>
      <c r="I485" s="16"/>
      <c r="Q485" s="13"/>
      <c r="R485" s="14"/>
    </row>
    <row r="486">
      <c r="E486" s="13"/>
      <c r="F486" s="15"/>
      <c r="G486" s="15"/>
      <c r="H486" s="16"/>
      <c r="I486" s="16"/>
      <c r="Q486" s="13"/>
      <c r="R486" s="14"/>
    </row>
    <row r="487">
      <c r="E487" s="13"/>
      <c r="F487" s="15"/>
      <c r="G487" s="15"/>
      <c r="H487" s="16"/>
      <c r="I487" s="16"/>
      <c r="Q487" s="13"/>
      <c r="R487" s="14"/>
    </row>
    <row r="488">
      <c r="E488" s="13"/>
      <c r="F488" s="15"/>
      <c r="G488" s="15"/>
      <c r="H488" s="16"/>
      <c r="I488" s="16"/>
      <c r="Q488" s="13"/>
      <c r="R488" s="14"/>
    </row>
    <row r="489">
      <c r="E489" s="13"/>
      <c r="F489" s="15"/>
      <c r="G489" s="15"/>
      <c r="H489" s="16"/>
      <c r="I489" s="16"/>
      <c r="Q489" s="13"/>
      <c r="R489" s="14"/>
    </row>
    <row r="490">
      <c r="E490" s="13"/>
      <c r="F490" s="15"/>
      <c r="G490" s="15"/>
      <c r="H490" s="16"/>
      <c r="I490" s="16"/>
      <c r="Q490" s="13"/>
      <c r="R490" s="14"/>
    </row>
    <row r="491">
      <c r="E491" s="13"/>
      <c r="F491" s="15"/>
      <c r="G491" s="15"/>
      <c r="H491" s="16"/>
      <c r="I491" s="16"/>
      <c r="Q491" s="13"/>
      <c r="R491" s="14"/>
    </row>
    <row r="492">
      <c r="E492" s="13"/>
      <c r="F492" s="15"/>
      <c r="G492" s="15"/>
      <c r="H492" s="16"/>
      <c r="I492" s="16"/>
      <c r="Q492" s="13"/>
      <c r="R492" s="14"/>
    </row>
    <row r="493">
      <c r="E493" s="13"/>
      <c r="F493" s="15"/>
      <c r="G493" s="15"/>
      <c r="H493" s="16"/>
      <c r="I493" s="16"/>
      <c r="Q493" s="13"/>
      <c r="R493" s="14"/>
    </row>
    <row r="494">
      <c r="E494" s="13"/>
      <c r="F494" s="15"/>
      <c r="G494" s="15"/>
      <c r="H494" s="16"/>
      <c r="I494" s="16"/>
      <c r="Q494" s="13"/>
      <c r="R494" s="14"/>
    </row>
    <row r="495">
      <c r="E495" s="13"/>
      <c r="F495" s="15"/>
      <c r="G495" s="15"/>
      <c r="H495" s="16"/>
      <c r="I495" s="16"/>
      <c r="Q495" s="13"/>
      <c r="R495" s="14"/>
    </row>
    <row r="496">
      <c r="E496" s="13"/>
      <c r="F496" s="15"/>
      <c r="G496" s="15"/>
      <c r="H496" s="16"/>
      <c r="I496" s="16"/>
      <c r="Q496" s="13"/>
      <c r="R496" s="14"/>
    </row>
    <row r="497">
      <c r="E497" s="13"/>
      <c r="F497" s="15"/>
      <c r="G497" s="15"/>
      <c r="H497" s="16"/>
      <c r="I497" s="16"/>
      <c r="Q497" s="13"/>
      <c r="R497" s="14"/>
    </row>
    <row r="498">
      <c r="E498" s="13"/>
      <c r="F498" s="15"/>
      <c r="G498" s="15"/>
      <c r="H498" s="16"/>
      <c r="I498" s="16"/>
      <c r="Q498" s="13"/>
      <c r="R498" s="14"/>
    </row>
    <row r="499">
      <c r="E499" s="13"/>
      <c r="F499" s="15"/>
      <c r="G499" s="15"/>
      <c r="H499" s="16"/>
      <c r="I499" s="16"/>
      <c r="Q499" s="13"/>
      <c r="R499" s="14"/>
    </row>
    <row r="500">
      <c r="E500" s="13"/>
      <c r="F500" s="15"/>
      <c r="G500" s="15"/>
      <c r="H500" s="16"/>
      <c r="I500" s="16"/>
      <c r="Q500" s="13"/>
      <c r="R500" s="14"/>
    </row>
    <row r="501">
      <c r="E501" s="13"/>
      <c r="F501" s="15"/>
      <c r="G501" s="15"/>
      <c r="H501" s="16"/>
      <c r="I501" s="16"/>
      <c r="Q501" s="13"/>
      <c r="R501" s="14"/>
    </row>
    <row r="502">
      <c r="E502" s="13"/>
      <c r="F502" s="15"/>
      <c r="G502" s="15"/>
      <c r="H502" s="16"/>
      <c r="I502" s="16"/>
      <c r="Q502" s="13"/>
      <c r="R502" s="14"/>
    </row>
    <row r="503">
      <c r="E503" s="13"/>
      <c r="F503" s="15"/>
      <c r="G503" s="15"/>
      <c r="H503" s="16"/>
      <c r="I503" s="16"/>
      <c r="Q503" s="13"/>
      <c r="R503" s="14"/>
    </row>
    <row r="504">
      <c r="E504" s="13"/>
      <c r="F504" s="15"/>
      <c r="G504" s="15"/>
      <c r="H504" s="16"/>
      <c r="I504" s="16"/>
      <c r="Q504" s="13"/>
      <c r="R504" s="14"/>
    </row>
    <row r="505">
      <c r="E505" s="13"/>
      <c r="F505" s="15"/>
      <c r="G505" s="15"/>
      <c r="H505" s="16"/>
      <c r="I505" s="16"/>
      <c r="Q505" s="13"/>
      <c r="R505" s="14"/>
    </row>
    <row r="506">
      <c r="E506" s="13"/>
      <c r="F506" s="15"/>
      <c r="G506" s="15"/>
      <c r="H506" s="16"/>
      <c r="I506" s="16"/>
      <c r="Q506" s="13"/>
      <c r="R506" s="14"/>
    </row>
    <row r="507">
      <c r="E507" s="13"/>
      <c r="F507" s="15"/>
      <c r="G507" s="15"/>
      <c r="H507" s="16"/>
      <c r="I507" s="16"/>
      <c r="Q507" s="13"/>
      <c r="R507" s="14"/>
    </row>
    <row r="508">
      <c r="E508" s="13"/>
      <c r="F508" s="15"/>
      <c r="G508" s="15"/>
      <c r="H508" s="16"/>
      <c r="I508" s="16"/>
      <c r="Q508" s="13"/>
      <c r="R508" s="14"/>
    </row>
    <row r="509">
      <c r="E509" s="13"/>
      <c r="F509" s="15"/>
      <c r="G509" s="15"/>
      <c r="H509" s="16"/>
      <c r="I509" s="16"/>
      <c r="Q509" s="13"/>
      <c r="R509" s="14"/>
    </row>
    <row r="510">
      <c r="E510" s="13"/>
      <c r="F510" s="15"/>
      <c r="G510" s="15"/>
      <c r="H510" s="16"/>
      <c r="I510" s="16"/>
      <c r="Q510" s="13"/>
      <c r="R510" s="14"/>
    </row>
    <row r="511">
      <c r="E511" s="13"/>
      <c r="F511" s="15"/>
      <c r="G511" s="15"/>
      <c r="H511" s="16"/>
      <c r="I511" s="16"/>
      <c r="Q511" s="13"/>
      <c r="R511" s="14"/>
    </row>
    <row r="512">
      <c r="E512" s="13"/>
      <c r="F512" s="15"/>
      <c r="G512" s="15"/>
      <c r="H512" s="16"/>
      <c r="I512" s="16"/>
      <c r="Q512" s="13"/>
      <c r="R512" s="14"/>
    </row>
    <row r="513">
      <c r="E513" s="13"/>
      <c r="F513" s="15"/>
      <c r="G513" s="15"/>
      <c r="H513" s="16"/>
      <c r="I513" s="16"/>
      <c r="Q513" s="13"/>
      <c r="R513" s="14"/>
    </row>
    <row r="514">
      <c r="E514" s="13"/>
      <c r="F514" s="15"/>
      <c r="G514" s="15"/>
      <c r="H514" s="16"/>
      <c r="I514" s="16"/>
      <c r="Q514" s="13"/>
      <c r="R514" s="14"/>
    </row>
    <row r="515">
      <c r="E515" s="13"/>
      <c r="F515" s="15"/>
      <c r="G515" s="15"/>
      <c r="H515" s="16"/>
      <c r="I515" s="16"/>
      <c r="Q515" s="13"/>
      <c r="R515" s="14"/>
    </row>
    <row r="516">
      <c r="E516" s="13"/>
      <c r="F516" s="15"/>
      <c r="G516" s="15"/>
      <c r="H516" s="16"/>
      <c r="I516" s="16"/>
      <c r="Q516" s="13"/>
      <c r="R516" s="14"/>
    </row>
    <row r="517">
      <c r="E517" s="13"/>
      <c r="F517" s="15"/>
      <c r="G517" s="15"/>
      <c r="H517" s="16"/>
      <c r="I517" s="16"/>
      <c r="Q517" s="13"/>
      <c r="R517" s="14"/>
    </row>
    <row r="518">
      <c r="E518" s="13"/>
      <c r="F518" s="15"/>
      <c r="G518" s="15"/>
      <c r="H518" s="16"/>
      <c r="I518" s="16"/>
      <c r="Q518" s="13"/>
      <c r="R518" s="14"/>
    </row>
    <row r="519">
      <c r="E519" s="13"/>
      <c r="F519" s="15"/>
      <c r="G519" s="15"/>
      <c r="H519" s="16"/>
      <c r="I519" s="16"/>
      <c r="Q519" s="13"/>
      <c r="R519" s="14"/>
    </row>
    <row r="520">
      <c r="E520" s="13"/>
      <c r="F520" s="15"/>
      <c r="G520" s="15"/>
      <c r="H520" s="16"/>
      <c r="I520" s="16"/>
      <c r="Q520" s="13"/>
      <c r="R520" s="14"/>
    </row>
    <row r="521">
      <c r="E521" s="13"/>
      <c r="F521" s="15"/>
      <c r="G521" s="15"/>
      <c r="H521" s="16"/>
      <c r="I521" s="16"/>
      <c r="Q521" s="13"/>
      <c r="R521" s="14"/>
    </row>
    <row r="522">
      <c r="E522" s="13"/>
      <c r="F522" s="15"/>
      <c r="G522" s="15"/>
      <c r="H522" s="16"/>
      <c r="I522" s="16"/>
      <c r="Q522" s="13"/>
      <c r="R522" s="14"/>
    </row>
    <row r="523">
      <c r="E523" s="13"/>
      <c r="F523" s="15"/>
      <c r="G523" s="15"/>
      <c r="H523" s="16"/>
      <c r="I523" s="16"/>
      <c r="Q523" s="13"/>
      <c r="R523" s="14"/>
    </row>
    <row r="524">
      <c r="E524" s="13"/>
      <c r="F524" s="15"/>
      <c r="G524" s="15"/>
      <c r="H524" s="16"/>
      <c r="I524" s="16"/>
      <c r="Q524" s="13"/>
      <c r="R524" s="14"/>
    </row>
    <row r="525">
      <c r="E525" s="13"/>
      <c r="F525" s="15"/>
      <c r="G525" s="15"/>
      <c r="H525" s="16"/>
      <c r="I525" s="16"/>
      <c r="Q525" s="13"/>
      <c r="R525" s="14"/>
    </row>
    <row r="526">
      <c r="E526" s="13"/>
      <c r="F526" s="15"/>
      <c r="G526" s="15"/>
      <c r="H526" s="16"/>
      <c r="I526" s="16"/>
      <c r="Q526" s="13"/>
      <c r="R526" s="14"/>
    </row>
    <row r="527">
      <c r="E527" s="13"/>
      <c r="F527" s="15"/>
      <c r="G527" s="15"/>
      <c r="H527" s="16"/>
      <c r="I527" s="16"/>
      <c r="Q527" s="13"/>
      <c r="R527" s="14"/>
    </row>
    <row r="528">
      <c r="E528" s="13"/>
      <c r="F528" s="15"/>
      <c r="G528" s="15"/>
      <c r="H528" s="16"/>
      <c r="I528" s="16"/>
      <c r="Q528" s="13"/>
      <c r="R528" s="14"/>
    </row>
    <row r="529">
      <c r="E529" s="13"/>
      <c r="F529" s="15"/>
      <c r="G529" s="15"/>
      <c r="H529" s="16"/>
      <c r="I529" s="16"/>
      <c r="Q529" s="13"/>
      <c r="R529" s="14"/>
    </row>
    <row r="530">
      <c r="E530" s="13"/>
      <c r="F530" s="15"/>
      <c r="G530" s="15"/>
      <c r="H530" s="16"/>
      <c r="I530" s="16"/>
      <c r="Q530" s="13"/>
      <c r="R530" s="14"/>
    </row>
    <row r="531">
      <c r="E531" s="13"/>
      <c r="F531" s="15"/>
      <c r="G531" s="15"/>
      <c r="H531" s="16"/>
      <c r="I531" s="16"/>
      <c r="Q531" s="13"/>
      <c r="R531" s="14"/>
    </row>
    <row r="532">
      <c r="E532" s="13"/>
      <c r="F532" s="15"/>
      <c r="G532" s="15"/>
      <c r="H532" s="16"/>
      <c r="I532" s="16"/>
      <c r="Q532" s="13"/>
      <c r="R532" s="14"/>
    </row>
    <row r="533">
      <c r="E533" s="13"/>
      <c r="F533" s="15"/>
      <c r="G533" s="15"/>
      <c r="H533" s="16"/>
      <c r="I533" s="16"/>
      <c r="Q533" s="13"/>
      <c r="R533" s="14"/>
    </row>
    <row r="534">
      <c r="E534" s="13"/>
      <c r="F534" s="15"/>
      <c r="G534" s="15"/>
      <c r="H534" s="16"/>
      <c r="I534" s="16"/>
      <c r="Q534" s="13"/>
      <c r="R534" s="14"/>
    </row>
    <row r="535">
      <c r="E535" s="13"/>
      <c r="F535" s="15"/>
      <c r="G535" s="15"/>
      <c r="H535" s="16"/>
      <c r="I535" s="16"/>
      <c r="Q535" s="13"/>
      <c r="R535" s="14"/>
    </row>
    <row r="536">
      <c r="E536" s="13"/>
      <c r="F536" s="15"/>
      <c r="G536" s="15"/>
      <c r="H536" s="16"/>
      <c r="I536" s="16"/>
      <c r="Q536" s="13"/>
      <c r="R536" s="14"/>
    </row>
    <row r="537">
      <c r="E537" s="13"/>
      <c r="F537" s="15"/>
      <c r="G537" s="15"/>
      <c r="H537" s="16"/>
      <c r="I537" s="16"/>
      <c r="Q537" s="13"/>
      <c r="R537" s="14"/>
    </row>
    <row r="538">
      <c r="E538" s="13"/>
      <c r="F538" s="15"/>
      <c r="G538" s="15"/>
      <c r="H538" s="16"/>
      <c r="I538" s="16"/>
      <c r="Q538" s="13"/>
      <c r="R538" s="14"/>
    </row>
    <row r="539">
      <c r="E539" s="13"/>
      <c r="F539" s="15"/>
      <c r="G539" s="15"/>
      <c r="H539" s="16"/>
      <c r="I539" s="16"/>
      <c r="Q539" s="13"/>
      <c r="R539" s="14"/>
    </row>
    <row r="540">
      <c r="E540" s="13"/>
      <c r="F540" s="15"/>
      <c r="G540" s="15"/>
      <c r="H540" s="16"/>
      <c r="I540" s="16"/>
      <c r="Q540" s="13"/>
      <c r="R540" s="14"/>
    </row>
    <row r="541">
      <c r="E541" s="13"/>
      <c r="F541" s="15"/>
      <c r="G541" s="15"/>
      <c r="H541" s="16"/>
      <c r="I541" s="16"/>
      <c r="Q541" s="13"/>
      <c r="R541" s="14"/>
    </row>
    <row r="542">
      <c r="E542" s="13"/>
      <c r="F542" s="15"/>
      <c r="G542" s="15"/>
      <c r="H542" s="16"/>
      <c r="I542" s="16"/>
      <c r="Q542" s="13"/>
      <c r="R542" s="14"/>
    </row>
    <row r="543">
      <c r="E543" s="13"/>
      <c r="F543" s="15"/>
      <c r="G543" s="15"/>
      <c r="H543" s="16"/>
      <c r="I543" s="16"/>
      <c r="Q543" s="13"/>
      <c r="R543" s="14"/>
    </row>
    <row r="544">
      <c r="E544" s="13"/>
      <c r="F544" s="15"/>
      <c r="G544" s="15"/>
      <c r="H544" s="16"/>
      <c r="I544" s="16"/>
      <c r="Q544" s="13"/>
      <c r="R544" s="14"/>
    </row>
    <row r="545">
      <c r="E545" s="13"/>
      <c r="F545" s="15"/>
      <c r="G545" s="15"/>
      <c r="H545" s="16"/>
      <c r="I545" s="16"/>
      <c r="Q545" s="13"/>
      <c r="R545" s="14"/>
    </row>
    <row r="546">
      <c r="E546" s="13"/>
      <c r="F546" s="15"/>
      <c r="G546" s="15"/>
      <c r="H546" s="16"/>
      <c r="I546" s="16"/>
      <c r="Q546" s="13"/>
      <c r="R546" s="14"/>
    </row>
    <row r="547">
      <c r="E547" s="13"/>
      <c r="F547" s="15"/>
      <c r="G547" s="15"/>
      <c r="H547" s="16"/>
      <c r="I547" s="16"/>
      <c r="Q547" s="13"/>
      <c r="R547" s="14"/>
    </row>
    <row r="548">
      <c r="E548" s="13"/>
      <c r="F548" s="15"/>
      <c r="G548" s="15"/>
      <c r="H548" s="16"/>
      <c r="I548" s="16"/>
      <c r="Q548" s="13"/>
      <c r="R548" s="14"/>
    </row>
    <row r="549">
      <c r="E549" s="13"/>
      <c r="F549" s="15"/>
      <c r="G549" s="15"/>
      <c r="H549" s="16"/>
      <c r="I549" s="16"/>
      <c r="Q549" s="13"/>
      <c r="R549" s="14"/>
    </row>
    <row r="550">
      <c r="E550" s="13"/>
      <c r="F550" s="15"/>
      <c r="G550" s="15"/>
      <c r="H550" s="16"/>
      <c r="I550" s="16"/>
      <c r="Q550" s="13"/>
      <c r="R550" s="14"/>
    </row>
    <row r="551">
      <c r="E551" s="13"/>
      <c r="F551" s="15"/>
      <c r="G551" s="15"/>
      <c r="H551" s="16"/>
      <c r="I551" s="16"/>
      <c r="Q551" s="13"/>
      <c r="R551" s="14"/>
    </row>
    <row r="552">
      <c r="E552" s="13"/>
      <c r="F552" s="15"/>
      <c r="G552" s="15"/>
      <c r="H552" s="16"/>
      <c r="I552" s="16"/>
      <c r="Q552" s="13"/>
      <c r="R552" s="14"/>
    </row>
    <row r="553">
      <c r="E553" s="13"/>
      <c r="F553" s="15"/>
      <c r="G553" s="15"/>
      <c r="H553" s="16"/>
      <c r="I553" s="16"/>
      <c r="Q553" s="13"/>
      <c r="R553" s="14"/>
    </row>
    <row r="554">
      <c r="E554" s="13"/>
      <c r="F554" s="15"/>
      <c r="G554" s="15"/>
      <c r="H554" s="16"/>
      <c r="I554" s="16"/>
      <c r="Q554" s="13"/>
      <c r="R554" s="14"/>
    </row>
    <row r="555">
      <c r="E555" s="13"/>
      <c r="F555" s="15"/>
      <c r="G555" s="15"/>
      <c r="H555" s="16"/>
      <c r="I555" s="16"/>
      <c r="Q555" s="13"/>
      <c r="R555" s="14"/>
    </row>
    <row r="556">
      <c r="E556" s="13"/>
      <c r="F556" s="15"/>
      <c r="G556" s="15"/>
      <c r="H556" s="16"/>
      <c r="I556" s="16"/>
      <c r="Q556" s="13"/>
      <c r="R556" s="14"/>
    </row>
    <row r="557">
      <c r="E557" s="13"/>
      <c r="F557" s="15"/>
      <c r="G557" s="15"/>
      <c r="H557" s="16"/>
      <c r="I557" s="16"/>
      <c r="Q557" s="13"/>
      <c r="R557" s="14"/>
    </row>
    <row r="558">
      <c r="E558" s="13"/>
      <c r="F558" s="15"/>
      <c r="G558" s="15"/>
      <c r="H558" s="16"/>
      <c r="I558" s="16"/>
      <c r="Q558" s="13"/>
      <c r="R558" s="14"/>
    </row>
    <row r="559">
      <c r="E559" s="13"/>
      <c r="F559" s="15"/>
      <c r="G559" s="15"/>
      <c r="H559" s="16"/>
      <c r="I559" s="16"/>
      <c r="Q559" s="13"/>
      <c r="R559" s="14"/>
    </row>
    <row r="560">
      <c r="E560" s="13"/>
      <c r="F560" s="15"/>
      <c r="G560" s="15"/>
      <c r="H560" s="16"/>
      <c r="I560" s="16"/>
      <c r="Q560" s="13"/>
      <c r="R560" s="14"/>
    </row>
    <row r="561">
      <c r="E561" s="13"/>
      <c r="F561" s="15"/>
      <c r="G561" s="15"/>
      <c r="H561" s="16"/>
      <c r="I561" s="16"/>
      <c r="Q561" s="13"/>
      <c r="R561" s="14"/>
    </row>
    <row r="562">
      <c r="E562" s="13"/>
      <c r="F562" s="15"/>
      <c r="G562" s="15"/>
      <c r="H562" s="16"/>
      <c r="I562" s="16"/>
      <c r="Q562" s="13"/>
      <c r="R562" s="14"/>
    </row>
    <row r="563">
      <c r="E563" s="13"/>
      <c r="F563" s="15"/>
      <c r="G563" s="15"/>
      <c r="H563" s="16"/>
      <c r="I563" s="16"/>
      <c r="Q563" s="13"/>
      <c r="R563" s="14"/>
    </row>
    <row r="564">
      <c r="E564" s="13"/>
      <c r="F564" s="15"/>
      <c r="G564" s="15"/>
      <c r="H564" s="16"/>
      <c r="I564" s="16"/>
      <c r="Q564" s="13"/>
      <c r="R564" s="14"/>
    </row>
    <row r="565">
      <c r="E565" s="13"/>
      <c r="F565" s="15"/>
      <c r="G565" s="15"/>
      <c r="H565" s="16"/>
      <c r="I565" s="16"/>
      <c r="Q565" s="13"/>
      <c r="R565" s="14"/>
    </row>
    <row r="566">
      <c r="E566" s="13"/>
      <c r="F566" s="15"/>
      <c r="G566" s="15"/>
      <c r="H566" s="16"/>
      <c r="I566" s="16"/>
      <c r="Q566" s="13"/>
      <c r="R566" s="14"/>
    </row>
    <row r="567">
      <c r="E567" s="13"/>
      <c r="F567" s="15"/>
      <c r="G567" s="15"/>
      <c r="H567" s="16"/>
      <c r="I567" s="16"/>
      <c r="Q567" s="13"/>
      <c r="R567" s="14"/>
    </row>
    <row r="568">
      <c r="E568" s="13"/>
      <c r="F568" s="15"/>
      <c r="G568" s="15"/>
      <c r="H568" s="16"/>
      <c r="I568" s="16"/>
      <c r="Q568" s="13"/>
      <c r="R568" s="14"/>
    </row>
    <row r="569">
      <c r="E569" s="13"/>
      <c r="F569" s="15"/>
      <c r="G569" s="15"/>
      <c r="H569" s="16"/>
      <c r="I569" s="16"/>
      <c r="Q569" s="13"/>
      <c r="R569" s="14"/>
    </row>
    <row r="570">
      <c r="E570" s="13"/>
      <c r="F570" s="15"/>
      <c r="G570" s="15"/>
      <c r="H570" s="16"/>
      <c r="I570" s="16"/>
      <c r="Q570" s="13"/>
      <c r="R570" s="14"/>
    </row>
    <row r="571">
      <c r="E571" s="13"/>
      <c r="F571" s="15"/>
      <c r="G571" s="15"/>
      <c r="H571" s="16"/>
      <c r="I571" s="16"/>
      <c r="Q571" s="13"/>
      <c r="R571" s="14"/>
    </row>
    <row r="572">
      <c r="E572" s="13"/>
      <c r="F572" s="15"/>
      <c r="G572" s="15"/>
      <c r="H572" s="16"/>
      <c r="I572" s="16"/>
      <c r="Q572" s="13"/>
      <c r="R572" s="14"/>
    </row>
    <row r="573">
      <c r="E573" s="13"/>
      <c r="F573" s="15"/>
      <c r="G573" s="15"/>
      <c r="H573" s="16"/>
      <c r="I573" s="16"/>
      <c r="Q573" s="13"/>
      <c r="R573" s="14"/>
    </row>
    <row r="574">
      <c r="E574" s="13"/>
      <c r="F574" s="15"/>
      <c r="G574" s="15"/>
      <c r="H574" s="16"/>
      <c r="I574" s="16"/>
      <c r="Q574" s="13"/>
      <c r="R574" s="14"/>
    </row>
    <row r="575">
      <c r="E575" s="13"/>
      <c r="F575" s="15"/>
      <c r="G575" s="15"/>
      <c r="H575" s="16"/>
      <c r="I575" s="16"/>
      <c r="Q575" s="13"/>
      <c r="R575" s="14"/>
    </row>
    <row r="576">
      <c r="E576" s="13"/>
      <c r="F576" s="15"/>
      <c r="G576" s="15"/>
      <c r="H576" s="16"/>
      <c r="I576" s="16"/>
      <c r="Q576" s="13"/>
      <c r="R576" s="14"/>
    </row>
    <row r="577">
      <c r="E577" s="13"/>
      <c r="F577" s="15"/>
      <c r="G577" s="15"/>
      <c r="H577" s="16"/>
      <c r="I577" s="16"/>
      <c r="Q577" s="13"/>
      <c r="R577" s="14"/>
    </row>
    <row r="578">
      <c r="E578" s="13"/>
      <c r="F578" s="15"/>
      <c r="G578" s="15"/>
      <c r="H578" s="16"/>
      <c r="I578" s="16"/>
      <c r="Q578" s="13"/>
      <c r="R578" s="14"/>
    </row>
    <row r="579">
      <c r="E579" s="13"/>
      <c r="F579" s="15"/>
      <c r="G579" s="15"/>
      <c r="H579" s="16"/>
      <c r="I579" s="16"/>
      <c r="Q579" s="13"/>
      <c r="R579" s="14"/>
    </row>
    <row r="580">
      <c r="E580" s="13"/>
      <c r="F580" s="15"/>
      <c r="G580" s="15"/>
      <c r="H580" s="16"/>
      <c r="I580" s="16"/>
      <c r="Q580" s="13"/>
      <c r="R580" s="14"/>
    </row>
    <row r="581">
      <c r="E581" s="13"/>
      <c r="F581" s="15"/>
      <c r="G581" s="15"/>
      <c r="H581" s="16"/>
      <c r="I581" s="16"/>
      <c r="Q581" s="13"/>
      <c r="R581" s="14"/>
    </row>
    <row r="582">
      <c r="E582" s="13"/>
      <c r="F582" s="15"/>
      <c r="G582" s="15"/>
      <c r="H582" s="16"/>
      <c r="I582" s="16"/>
      <c r="Q582" s="13"/>
      <c r="R582" s="14"/>
    </row>
    <row r="583">
      <c r="E583" s="13"/>
      <c r="F583" s="15"/>
      <c r="G583" s="15"/>
      <c r="H583" s="16"/>
      <c r="I583" s="16"/>
      <c r="Q583" s="13"/>
      <c r="R583" s="14"/>
    </row>
    <row r="584">
      <c r="E584" s="13"/>
      <c r="F584" s="15"/>
      <c r="G584" s="15"/>
      <c r="H584" s="16"/>
      <c r="I584" s="16"/>
      <c r="Q584" s="13"/>
      <c r="R584" s="14"/>
    </row>
    <row r="585">
      <c r="E585" s="13"/>
      <c r="F585" s="15"/>
      <c r="G585" s="15"/>
      <c r="H585" s="16"/>
      <c r="I585" s="16"/>
      <c r="Q585" s="13"/>
      <c r="R585" s="14"/>
    </row>
    <row r="586">
      <c r="E586" s="13"/>
      <c r="F586" s="15"/>
      <c r="G586" s="15"/>
      <c r="H586" s="16"/>
      <c r="I586" s="16"/>
      <c r="Q586" s="13"/>
      <c r="R586" s="14"/>
    </row>
    <row r="587">
      <c r="E587" s="13"/>
      <c r="F587" s="15"/>
      <c r="G587" s="15"/>
      <c r="H587" s="16"/>
      <c r="I587" s="16"/>
      <c r="Q587" s="13"/>
      <c r="R587" s="14"/>
    </row>
    <row r="588">
      <c r="E588" s="13"/>
      <c r="F588" s="15"/>
      <c r="G588" s="15"/>
      <c r="H588" s="16"/>
      <c r="I588" s="16"/>
      <c r="Q588" s="13"/>
      <c r="R588" s="14"/>
    </row>
    <row r="589">
      <c r="E589" s="13"/>
      <c r="F589" s="15"/>
      <c r="G589" s="15"/>
      <c r="H589" s="16"/>
      <c r="I589" s="16"/>
      <c r="Q589" s="13"/>
      <c r="R589" s="14"/>
    </row>
    <row r="590">
      <c r="E590" s="13"/>
      <c r="F590" s="15"/>
      <c r="G590" s="15"/>
      <c r="H590" s="16"/>
      <c r="I590" s="16"/>
      <c r="Q590" s="13"/>
      <c r="R590" s="14"/>
    </row>
    <row r="591">
      <c r="E591" s="13"/>
      <c r="F591" s="15"/>
      <c r="G591" s="15"/>
      <c r="H591" s="16"/>
      <c r="I591" s="16"/>
      <c r="Q591" s="13"/>
      <c r="R591" s="14"/>
    </row>
    <row r="592">
      <c r="E592" s="13"/>
      <c r="F592" s="15"/>
      <c r="G592" s="15"/>
      <c r="H592" s="16"/>
      <c r="I592" s="16"/>
      <c r="Q592" s="13"/>
      <c r="R592" s="14"/>
    </row>
    <row r="593">
      <c r="E593" s="13"/>
      <c r="F593" s="15"/>
      <c r="G593" s="15"/>
      <c r="H593" s="16"/>
      <c r="I593" s="16"/>
      <c r="Q593" s="13"/>
      <c r="R593" s="14"/>
    </row>
    <row r="594">
      <c r="E594" s="13"/>
      <c r="F594" s="15"/>
      <c r="G594" s="15"/>
      <c r="H594" s="16"/>
      <c r="I594" s="16"/>
      <c r="Q594" s="13"/>
      <c r="R594" s="14"/>
    </row>
    <row r="595">
      <c r="E595" s="13"/>
      <c r="F595" s="15"/>
      <c r="G595" s="15"/>
      <c r="H595" s="16"/>
      <c r="I595" s="16"/>
      <c r="Q595" s="13"/>
      <c r="R595" s="14"/>
    </row>
    <row r="596">
      <c r="E596" s="13"/>
      <c r="F596" s="15"/>
      <c r="G596" s="15"/>
      <c r="H596" s="16"/>
      <c r="I596" s="16"/>
      <c r="Q596" s="13"/>
      <c r="R596" s="14"/>
    </row>
    <row r="597">
      <c r="E597" s="13"/>
      <c r="F597" s="15"/>
      <c r="G597" s="15"/>
      <c r="H597" s="16"/>
      <c r="I597" s="16"/>
      <c r="Q597" s="13"/>
      <c r="R597" s="14"/>
    </row>
    <row r="598">
      <c r="E598" s="13"/>
      <c r="F598" s="15"/>
      <c r="G598" s="15"/>
      <c r="H598" s="16"/>
      <c r="I598" s="16"/>
      <c r="Q598" s="13"/>
      <c r="R598" s="14"/>
    </row>
    <row r="599">
      <c r="E599" s="13"/>
      <c r="F599" s="15"/>
      <c r="G599" s="15"/>
      <c r="H599" s="16"/>
      <c r="I599" s="16"/>
      <c r="Q599" s="13"/>
      <c r="R599" s="14"/>
    </row>
    <row r="600">
      <c r="E600" s="13"/>
      <c r="F600" s="15"/>
      <c r="G600" s="15"/>
      <c r="H600" s="16"/>
      <c r="I600" s="16"/>
      <c r="Q600" s="13"/>
      <c r="R600" s="14"/>
    </row>
    <row r="601">
      <c r="E601" s="13"/>
      <c r="F601" s="15"/>
      <c r="G601" s="15"/>
      <c r="H601" s="16"/>
      <c r="I601" s="16"/>
      <c r="Q601" s="13"/>
      <c r="R601" s="14"/>
    </row>
    <row r="602">
      <c r="E602" s="13"/>
      <c r="F602" s="15"/>
      <c r="G602" s="15"/>
      <c r="H602" s="16"/>
      <c r="I602" s="16"/>
      <c r="Q602" s="13"/>
      <c r="R602" s="14"/>
    </row>
    <row r="603">
      <c r="E603" s="13"/>
      <c r="F603" s="15"/>
      <c r="G603" s="15"/>
      <c r="H603" s="16"/>
      <c r="I603" s="16"/>
      <c r="Q603" s="13"/>
      <c r="R603" s="14"/>
    </row>
    <row r="604">
      <c r="E604" s="13"/>
      <c r="F604" s="15"/>
      <c r="G604" s="15"/>
      <c r="H604" s="16"/>
      <c r="I604" s="16"/>
      <c r="Q604" s="13"/>
      <c r="R604" s="14"/>
    </row>
    <row r="605">
      <c r="E605" s="13"/>
      <c r="F605" s="15"/>
      <c r="G605" s="15"/>
      <c r="H605" s="16"/>
      <c r="I605" s="16"/>
      <c r="Q605" s="13"/>
      <c r="R605" s="14"/>
    </row>
    <row r="606">
      <c r="E606" s="13"/>
      <c r="F606" s="15"/>
      <c r="G606" s="15"/>
      <c r="H606" s="16"/>
      <c r="I606" s="16"/>
      <c r="Q606" s="13"/>
      <c r="R606" s="14"/>
    </row>
    <row r="607">
      <c r="E607" s="13"/>
      <c r="F607" s="15"/>
      <c r="G607" s="15"/>
      <c r="H607" s="16"/>
      <c r="I607" s="16"/>
      <c r="Q607" s="13"/>
      <c r="R607" s="14"/>
    </row>
    <row r="608">
      <c r="E608" s="13"/>
      <c r="F608" s="15"/>
      <c r="G608" s="15"/>
      <c r="H608" s="16"/>
      <c r="I608" s="16"/>
      <c r="Q608" s="13"/>
      <c r="R608" s="14"/>
    </row>
    <row r="609">
      <c r="E609" s="13"/>
      <c r="F609" s="15"/>
      <c r="G609" s="15"/>
      <c r="H609" s="16"/>
      <c r="I609" s="16"/>
      <c r="Q609" s="13"/>
      <c r="R609" s="14"/>
    </row>
    <row r="610">
      <c r="E610" s="13"/>
      <c r="F610" s="15"/>
      <c r="G610" s="15"/>
      <c r="H610" s="16"/>
      <c r="I610" s="16"/>
      <c r="Q610" s="13"/>
      <c r="R610" s="14"/>
    </row>
    <row r="611">
      <c r="E611" s="13"/>
      <c r="F611" s="15"/>
      <c r="G611" s="15"/>
      <c r="H611" s="16"/>
      <c r="I611" s="16"/>
      <c r="Q611" s="13"/>
      <c r="R611" s="14"/>
    </row>
    <row r="612">
      <c r="E612" s="13"/>
      <c r="F612" s="15"/>
      <c r="G612" s="15"/>
      <c r="H612" s="16"/>
      <c r="I612" s="16"/>
      <c r="Q612" s="13"/>
      <c r="R612" s="14"/>
    </row>
    <row r="613">
      <c r="E613" s="13"/>
      <c r="F613" s="15"/>
      <c r="G613" s="15"/>
      <c r="H613" s="16"/>
      <c r="I613" s="16"/>
      <c r="Q613" s="13"/>
      <c r="R613" s="14"/>
    </row>
    <row r="614">
      <c r="E614" s="13"/>
      <c r="F614" s="15"/>
      <c r="G614" s="15"/>
      <c r="H614" s="16"/>
      <c r="I614" s="16"/>
      <c r="Q614" s="13"/>
      <c r="R614" s="14"/>
    </row>
    <row r="615">
      <c r="E615" s="13"/>
      <c r="F615" s="15"/>
      <c r="G615" s="15"/>
      <c r="H615" s="16"/>
      <c r="I615" s="16"/>
      <c r="Q615" s="13"/>
      <c r="R615" s="14"/>
    </row>
    <row r="616">
      <c r="E616" s="13"/>
      <c r="F616" s="15"/>
      <c r="G616" s="15"/>
      <c r="H616" s="16"/>
      <c r="I616" s="16"/>
      <c r="Q616" s="13"/>
      <c r="R616" s="14"/>
    </row>
    <row r="617">
      <c r="E617" s="13"/>
      <c r="F617" s="15"/>
      <c r="G617" s="15"/>
      <c r="H617" s="16"/>
      <c r="I617" s="16"/>
      <c r="Q617" s="13"/>
      <c r="R617" s="14"/>
    </row>
    <row r="618">
      <c r="E618" s="13"/>
      <c r="F618" s="15"/>
      <c r="G618" s="15"/>
      <c r="H618" s="16"/>
      <c r="I618" s="16"/>
      <c r="Q618" s="13"/>
      <c r="R618" s="14"/>
    </row>
    <row r="619">
      <c r="E619" s="13"/>
      <c r="F619" s="15"/>
      <c r="G619" s="15"/>
      <c r="H619" s="16"/>
      <c r="I619" s="16"/>
      <c r="Q619" s="13"/>
      <c r="R619" s="14"/>
    </row>
    <row r="620">
      <c r="E620" s="13"/>
      <c r="F620" s="15"/>
      <c r="G620" s="15"/>
      <c r="H620" s="16"/>
      <c r="I620" s="16"/>
      <c r="Q620" s="13"/>
      <c r="R620" s="14"/>
    </row>
    <row r="621">
      <c r="E621" s="13"/>
      <c r="F621" s="15"/>
      <c r="G621" s="15"/>
      <c r="H621" s="16"/>
      <c r="I621" s="16"/>
      <c r="Q621" s="13"/>
      <c r="R621" s="14"/>
    </row>
    <row r="622">
      <c r="E622" s="13"/>
      <c r="F622" s="15"/>
      <c r="G622" s="15"/>
      <c r="H622" s="16"/>
      <c r="I622" s="16"/>
      <c r="Q622" s="13"/>
      <c r="R622" s="14"/>
    </row>
    <row r="623">
      <c r="E623" s="13"/>
      <c r="F623" s="15"/>
      <c r="G623" s="15"/>
      <c r="H623" s="16"/>
      <c r="I623" s="16"/>
      <c r="Q623" s="13"/>
      <c r="R623" s="14"/>
    </row>
    <row r="624">
      <c r="E624" s="13"/>
      <c r="F624" s="15"/>
      <c r="G624" s="15"/>
      <c r="H624" s="16"/>
      <c r="I624" s="16"/>
      <c r="Q624" s="13"/>
      <c r="R624" s="14"/>
    </row>
    <row r="625">
      <c r="E625" s="13"/>
      <c r="F625" s="15"/>
      <c r="G625" s="15"/>
      <c r="H625" s="16"/>
      <c r="I625" s="16"/>
      <c r="Q625" s="13"/>
      <c r="R625" s="14"/>
    </row>
    <row r="626">
      <c r="E626" s="13"/>
      <c r="F626" s="15"/>
      <c r="G626" s="15"/>
      <c r="H626" s="16"/>
      <c r="I626" s="16"/>
      <c r="Q626" s="13"/>
      <c r="R626" s="14"/>
    </row>
    <row r="627">
      <c r="E627" s="13"/>
      <c r="F627" s="15"/>
      <c r="G627" s="15"/>
      <c r="H627" s="16"/>
      <c r="I627" s="16"/>
      <c r="Q627" s="13"/>
      <c r="R627" s="14"/>
    </row>
    <row r="628">
      <c r="E628" s="13"/>
      <c r="F628" s="15"/>
      <c r="G628" s="15"/>
      <c r="H628" s="16"/>
      <c r="I628" s="16"/>
      <c r="Q628" s="13"/>
      <c r="R628" s="14"/>
    </row>
    <row r="629">
      <c r="E629" s="13"/>
      <c r="F629" s="15"/>
      <c r="G629" s="15"/>
      <c r="H629" s="16"/>
      <c r="I629" s="16"/>
      <c r="Q629" s="13"/>
      <c r="R629" s="14"/>
    </row>
    <row r="630">
      <c r="E630" s="13"/>
      <c r="F630" s="15"/>
      <c r="G630" s="15"/>
      <c r="H630" s="16"/>
      <c r="I630" s="16"/>
      <c r="Q630" s="13"/>
      <c r="R630" s="14"/>
    </row>
    <row r="631">
      <c r="E631" s="13"/>
      <c r="F631" s="15"/>
      <c r="G631" s="15"/>
      <c r="H631" s="16"/>
      <c r="I631" s="16"/>
      <c r="Q631" s="13"/>
      <c r="R631" s="14"/>
    </row>
    <row r="632">
      <c r="E632" s="13"/>
      <c r="F632" s="15"/>
      <c r="G632" s="15"/>
      <c r="H632" s="16"/>
      <c r="I632" s="16"/>
      <c r="Q632" s="13"/>
      <c r="R632" s="14"/>
    </row>
    <row r="633">
      <c r="E633" s="13"/>
      <c r="F633" s="15"/>
      <c r="G633" s="15"/>
      <c r="H633" s="16"/>
      <c r="I633" s="16"/>
      <c r="Q633" s="13"/>
      <c r="R633" s="14"/>
    </row>
    <row r="634">
      <c r="E634" s="13"/>
      <c r="F634" s="15"/>
      <c r="G634" s="15"/>
      <c r="H634" s="16"/>
      <c r="I634" s="16"/>
      <c r="Q634" s="13"/>
      <c r="R634" s="14"/>
    </row>
    <row r="635">
      <c r="E635" s="13"/>
      <c r="F635" s="15"/>
      <c r="G635" s="15"/>
      <c r="H635" s="16"/>
      <c r="I635" s="16"/>
      <c r="Q635" s="13"/>
      <c r="R635" s="14"/>
    </row>
    <row r="636">
      <c r="E636" s="13"/>
      <c r="F636" s="15"/>
      <c r="G636" s="15"/>
      <c r="H636" s="16"/>
      <c r="I636" s="16"/>
      <c r="Q636" s="13"/>
      <c r="R636" s="14"/>
    </row>
    <row r="637">
      <c r="E637" s="13"/>
      <c r="F637" s="15"/>
      <c r="G637" s="15"/>
      <c r="H637" s="16"/>
      <c r="I637" s="16"/>
      <c r="Q637" s="13"/>
      <c r="R637" s="14"/>
    </row>
    <row r="638">
      <c r="E638" s="13"/>
      <c r="F638" s="15"/>
      <c r="G638" s="15"/>
      <c r="H638" s="16"/>
      <c r="I638" s="16"/>
      <c r="Q638" s="13"/>
      <c r="R638" s="14"/>
    </row>
    <row r="639">
      <c r="E639" s="13"/>
      <c r="F639" s="15"/>
      <c r="G639" s="15"/>
      <c r="H639" s="16"/>
      <c r="I639" s="16"/>
      <c r="Q639" s="13"/>
      <c r="R639" s="14"/>
    </row>
    <row r="640">
      <c r="E640" s="13"/>
      <c r="F640" s="15"/>
      <c r="G640" s="15"/>
      <c r="H640" s="16"/>
      <c r="I640" s="16"/>
      <c r="Q640" s="13"/>
      <c r="R640" s="14"/>
    </row>
    <row r="641">
      <c r="E641" s="13"/>
      <c r="F641" s="15"/>
      <c r="G641" s="15"/>
      <c r="H641" s="16"/>
      <c r="I641" s="16"/>
      <c r="Q641" s="13"/>
      <c r="R641" s="14"/>
    </row>
    <row r="642">
      <c r="E642" s="13"/>
      <c r="F642" s="15"/>
      <c r="G642" s="15"/>
      <c r="H642" s="16"/>
      <c r="I642" s="16"/>
      <c r="Q642" s="13"/>
      <c r="R642" s="14"/>
    </row>
    <row r="643">
      <c r="E643" s="13"/>
      <c r="F643" s="15"/>
      <c r="G643" s="15"/>
      <c r="H643" s="16"/>
      <c r="I643" s="16"/>
      <c r="Q643" s="13"/>
      <c r="R643" s="14"/>
    </row>
    <row r="644">
      <c r="E644" s="13"/>
      <c r="F644" s="15"/>
      <c r="G644" s="15"/>
      <c r="H644" s="16"/>
      <c r="I644" s="16"/>
      <c r="Q644" s="13"/>
      <c r="R644" s="14"/>
    </row>
    <row r="645">
      <c r="E645" s="13"/>
      <c r="F645" s="15"/>
      <c r="G645" s="15"/>
      <c r="H645" s="16"/>
      <c r="I645" s="16"/>
      <c r="Q645" s="13"/>
      <c r="R645" s="14"/>
    </row>
    <row r="646">
      <c r="E646" s="13"/>
      <c r="F646" s="15"/>
      <c r="G646" s="15"/>
      <c r="H646" s="16"/>
      <c r="I646" s="16"/>
      <c r="Q646" s="13"/>
      <c r="R646" s="14"/>
    </row>
    <row r="647">
      <c r="E647" s="13"/>
      <c r="F647" s="15"/>
      <c r="G647" s="15"/>
      <c r="H647" s="16"/>
      <c r="I647" s="16"/>
      <c r="Q647" s="13"/>
      <c r="R647" s="14"/>
    </row>
    <row r="648">
      <c r="E648" s="13"/>
      <c r="F648" s="15"/>
      <c r="G648" s="15"/>
      <c r="H648" s="16"/>
      <c r="I648" s="16"/>
      <c r="Q648" s="13"/>
      <c r="R648" s="14"/>
    </row>
    <row r="649">
      <c r="E649" s="13"/>
      <c r="F649" s="15"/>
      <c r="G649" s="15"/>
      <c r="H649" s="16"/>
      <c r="I649" s="16"/>
      <c r="Q649" s="13"/>
      <c r="R649" s="14"/>
    </row>
    <row r="650">
      <c r="E650" s="13"/>
      <c r="F650" s="15"/>
      <c r="G650" s="15"/>
      <c r="H650" s="16"/>
      <c r="I650" s="16"/>
      <c r="Q650" s="13"/>
      <c r="R650" s="14"/>
    </row>
    <row r="651">
      <c r="E651" s="13"/>
      <c r="F651" s="15"/>
      <c r="G651" s="15"/>
      <c r="H651" s="16"/>
      <c r="I651" s="16"/>
      <c r="Q651" s="13"/>
      <c r="R651" s="14"/>
    </row>
    <row r="652">
      <c r="E652" s="13"/>
      <c r="F652" s="15"/>
      <c r="G652" s="15"/>
      <c r="H652" s="16"/>
      <c r="I652" s="16"/>
      <c r="Q652" s="13"/>
      <c r="R652" s="14"/>
    </row>
    <row r="653">
      <c r="E653" s="13"/>
      <c r="F653" s="15"/>
      <c r="G653" s="15"/>
      <c r="H653" s="16"/>
      <c r="I653" s="16"/>
      <c r="Q653" s="13"/>
      <c r="R653" s="14"/>
    </row>
    <row r="654">
      <c r="E654" s="13"/>
      <c r="F654" s="15"/>
      <c r="G654" s="15"/>
      <c r="H654" s="16"/>
      <c r="I654" s="16"/>
      <c r="Q654" s="13"/>
      <c r="R654" s="14"/>
    </row>
    <row r="655">
      <c r="E655" s="13"/>
      <c r="F655" s="15"/>
      <c r="G655" s="15"/>
      <c r="H655" s="16"/>
      <c r="I655" s="16"/>
      <c r="Q655" s="13"/>
      <c r="R655" s="14"/>
    </row>
    <row r="656">
      <c r="E656" s="13"/>
      <c r="F656" s="15"/>
      <c r="G656" s="15"/>
      <c r="H656" s="16"/>
      <c r="I656" s="16"/>
      <c r="Q656" s="13"/>
      <c r="R656" s="14"/>
    </row>
    <row r="657">
      <c r="E657" s="13"/>
      <c r="F657" s="15"/>
      <c r="G657" s="15"/>
      <c r="H657" s="16"/>
      <c r="I657" s="16"/>
      <c r="Q657" s="13"/>
      <c r="R657" s="14"/>
    </row>
    <row r="658">
      <c r="E658" s="13"/>
      <c r="F658" s="15"/>
      <c r="G658" s="15"/>
      <c r="H658" s="16"/>
      <c r="I658" s="16"/>
      <c r="Q658" s="13"/>
      <c r="R658" s="14"/>
    </row>
    <row r="659">
      <c r="E659" s="13"/>
      <c r="F659" s="15"/>
      <c r="G659" s="15"/>
      <c r="H659" s="16"/>
      <c r="I659" s="16"/>
      <c r="Q659" s="13"/>
      <c r="R659" s="14"/>
    </row>
    <row r="660">
      <c r="E660" s="13"/>
      <c r="F660" s="15"/>
      <c r="G660" s="15"/>
      <c r="H660" s="16"/>
      <c r="I660" s="16"/>
      <c r="Q660" s="13"/>
      <c r="R660" s="14"/>
    </row>
    <row r="661">
      <c r="E661" s="13"/>
      <c r="F661" s="15"/>
      <c r="G661" s="15"/>
      <c r="H661" s="16"/>
      <c r="I661" s="16"/>
      <c r="Q661" s="13"/>
      <c r="R661" s="14"/>
    </row>
    <row r="662">
      <c r="E662" s="13"/>
      <c r="F662" s="15"/>
      <c r="G662" s="15"/>
      <c r="H662" s="16"/>
      <c r="I662" s="16"/>
      <c r="Q662" s="13"/>
      <c r="R662" s="14"/>
    </row>
    <row r="663">
      <c r="E663" s="13"/>
      <c r="F663" s="15"/>
      <c r="G663" s="15"/>
      <c r="H663" s="16"/>
      <c r="I663" s="16"/>
      <c r="Q663" s="13"/>
      <c r="R663" s="14"/>
    </row>
    <row r="664">
      <c r="E664" s="13"/>
      <c r="F664" s="15"/>
      <c r="G664" s="15"/>
      <c r="H664" s="16"/>
      <c r="I664" s="16"/>
      <c r="Q664" s="13"/>
      <c r="R664" s="14"/>
    </row>
    <row r="665">
      <c r="E665" s="13"/>
      <c r="F665" s="15"/>
      <c r="G665" s="15"/>
      <c r="H665" s="16"/>
      <c r="I665" s="16"/>
      <c r="Q665" s="13"/>
      <c r="R665" s="14"/>
    </row>
    <row r="666">
      <c r="E666" s="13"/>
      <c r="F666" s="15"/>
      <c r="G666" s="15"/>
      <c r="H666" s="16"/>
      <c r="I666" s="16"/>
      <c r="Q666" s="13"/>
      <c r="R666" s="14"/>
    </row>
    <row r="667">
      <c r="E667" s="13"/>
      <c r="F667" s="15"/>
      <c r="G667" s="15"/>
      <c r="H667" s="16"/>
      <c r="I667" s="16"/>
      <c r="Q667" s="13"/>
      <c r="R667" s="14"/>
    </row>
    <row r="668">
      <c r="E668" s="13"/>
      <c r="F668" s="15"/>
      <c r="G668" s="15"/>
      <c r="H668" s="16"/>
      <c r="I668" s="16"/>
      <c r="Q668" s="13"/>
      <c r="R668" s="14"/>
    </row>
    <row r="669">
      <c r="E669" s="13"/>
      <c r="F669" s="15"/>
      <c r="G669" s="15"/>
      <c r="H669" s="16"/>
      <c r="I669" s="16"/>
      <c r="Q669" s="13"/>
      <c r="R669" s="14"/>
    </row>
    <row r="670">
      <c r="E670" s="13"/>
      <c r="F670" s="15"/>
      <c r="G670" s="15"/>
      <c r="H670" s="16"/>
      <c r="I670" s="16"/>
      <c r="Q670" s="13"/>
      <c r="R670" s="14"/>
    </row>
    <row r="671">
      <c r="E671" s="13"/>
      <c r="F671" s="15"/>
      <c r="G671" s="15"/>
      <c r="H671" s="16"/>
      <c r="I671" s="16"/>
      <c r="Q671" s="13"/>
      <c r="R671" s="14"/>
    </row>
    <row r="672">
      <c r="E672" s="13"/>
      <c r="F672" s="15"/>
      <c r="G672" s="15"/>
      <c r="H672" s="16"/>
      <c r="I672" s="16"/>
      <c r="Q672" s="13"/>
      <c r="R672" s="14"/>
    </row>
    <row r="673">
      <c r="E673" s="13"/>
      <c r="F673" s="15"/>
      <c r="G673" s="15"/>
      <c r="H673" s="16"/>
      <c r="I673" s="16"/>
      <c r="Q673" s="13"/>
      <c r="R673" s="14"/>
    </row>
    <row r="674">
      <c r="E674" s="13"/>
      <c r="F674" s="15"/>
      <c r="G674" s="15"/>
      <c r="H674" s="16"/>
      <c r="I674" s="16"/>
      <c r="Q674" s="13"/>
      <c r="R674" s="14"/>
    </row>
    <row r="675">
      <c r="E675" s="13"/>
      <c r="F675" s="15"/>
      <c r="G675" s="15"/>
      <c r="H675" s="16"/>
      <c r="I675" s="16"/>
      <c r="Q675" s="13"/>
      <c r="R675" s="14"/>
    </row>
    <row r="676">
      <c r="E676" s="13"/>
      <c r="F676" s="15"/>
      <c r="G676" s="15"/>
      <c r="H676" s="16"/>
      <c r="I676" s="16"/>
      <c r="Q676" s="13"/>
      <c r="R676" s="14"/>
    </row>
    <row r="677">
      <c r="E677" s="13"/>
      <c r="F677" s="15"/>
      <c r="G677" s="15"/>
      <c r="H677" s="16"/>
      <c r="I677" s="16"/>
      <c r="Q677" s="13"/>
      <c r="R677" s="14"/>
    </row>
    <row r="678">
      <c r="E678" s="13"/>
      <c r="F678" s="15"/>
      <c r="G678" s="15"/>
      <c r="H678" s="16"/>
      <c r="I678" s="16"/>
      <c r="Q678" s="13"/>
      <c r="R678" s="14"/>
    </row>
    <row r="679">
      <c r="E679" s="13"/>
      <c r="F679" s="15"/>
      <c r="G679" s="15"/>
      <c r="H679" s="16"/>
      <c r="I679" s="16"/>
      <c r="Q679" s="13"/>
      <c r="R679" s="14"/>
    </row>
    <row r="680">
      <c r="E680" s="13"/>
      <c r="F680" s="15"/>
      <c r="G680" s="15"/>
      <c r="H680" s="16"/>
      <c r="I680" s="16"/>
      <c r="Q680" s="13"/>
      <c r="R680" s="14"/>
    </row>
    <row r="681">
      <c r="E681" s="13"/>
      <c r="F681" s="15"/>
      <c r="G681" s="15"/>
      <c r="H681" s="16"/>
      <c r="I681" s="16"/>
      <c r="Q681" s="13"/>
      <c r="R681" s="14"/>
    </row>
    <row r="682">
      <c r="E682" s="13"/>
      <c r="F682" s="15"/>
      <c r="G682" s="15"/>
      <c r="H682" s="16"/>
      <c r="I682" s="16"/>
      <c r="Q682" s="13"/>
      <c r="R682" s="14"/>
    </row>
    <row r="683">
      <c r="E683" s="13"/>
      <c r="F683" s="15"/>
      <c r="G683" s="15"/>
      <c r="H683" s="16"/>
      <c r="I683" s="16"/>
      <c r="Q683" s="13"/>
      <c r="R683" s="14"/>
    </row>
    <row r="684">
      <c r="E684" s="13"/>
      <c r="F684" s="15"/>
      <c r="G684" s="15"/>
      <c r="H684" s="16"/>
      <c r="I684" s="16"/>
      <c r="Q684" s="13"/>
      <c r="R684" s="14"/>
    </row>
    <row r="685">
      <c r="E685" s="13"/>
      <c r="F685" s="15"/>
      <c r="G685" s="15"/>
      <c r="H685" s="16"/>
      <c r="I685" s="16"/>
      <c r="Q685" s="13"/>
      <c r="R685" s="14"/>
    </row>
    <row r="686">
      <c r="E686" s="13"/>
      <c r="F686" s="15"/>
      <c r="G686" s="15"/>
      <c r="H686" s="16"/>
      <c r="I686" s="16"/>
      <c r="Q686" s="13"/>
      <c r="R686" s="14"/>
    </row>
    <row r="687">
      <c r="E687" s="13"/>
      <c r="F687" s="15"/>
      <c r="G687" s="15"/>
      <c r="H687" s="16"/>
      <c r="I687" s="16"/>
      <c r="Q687" s="13"/>
      <c r="R687" s="14"/>
    </row>
    <row r="688">
      <c r="E688" s="13"/>
      <c r="F688" s="15"/>
      <c r="G688" s="15"/>
      <c r="H688" s="16"/>
      <c r="I688" s="16"/>
      <c r="Q688" s="13"/>
      <c r="R688" s="14"/>
    </row>
    <row r="689">
      <c r="E689" s="13"/>
      <c r="F689" s="15"/>
      <c r="G689" s="15"/>
      <c r="H689" s="16"/>
      <c r="I689" s="16"/>
      <c r="Q689" s="13"/>
      <c r="R689" s="14"/>
    </row>
    <row r="690">
      <c r="E690" s="13"/>
      <c r="F690" s="15"/>
      <c r="G690" s="15"/>
      <c r="H690" s="16"/>
      <c r="I690" s="16"/>
      <c r="Q690" s="13"/>
      <c r="R690" s="14"/>
    </row>
    <row r="691">
      <c r="E691" s="13"/>
      <c r="F691" s="15"/>
      <c r="G691" s="15"/>
      <c r="H691" s="16"/>
      <c r="I691" s="16"/>
      <c r="Q691" s="13"/>
      <c r="R691" s="14"/>
    </row>
    <row r="692">
      <c r="E692" s="13"/>
      <c r="F692" s="15"/>
      <c r="G692" s="15"/>
      <c r="H692" s="16"/>
      <c r="I692" s="16"/>
      <c r="Q692" s="13"/>
      <c r="R692" s="14"/>
    </row>
    <row r="693">
      <c r="E693" s="13"/>
      <c r="F693" s="15"/>
      <c r="G693" s="15"/>
      <c r="H693" s="16"/>
      <c r="I693" s="16"/>
      <c r="Q693" s="13"/>
      <c r="R693" s="14"/>
    </row>
    <row r="694">
      <c r="E694" s="13"/>
      <c r="F694" s="15"/>
      <c r="G694" s="15"/>
      <c r="H694" s="16"/>
      <c r="I694" s="16"/>
      <c r="Q694" s="13"/>
      <c r="R694" s="14"/>
    </row>
    <row r="695">
      <c r="E695" s="13"/>
      <c r="F695" s="15"/>
      <c r="G695" s="15"/>
      <c r="H695" s="16"/>
      <c r="I695" s="16"/>
      <c r="Q695" s="13"/>
      <c r="R695" s="14"/>
    </row>
    <row r="696">
      <c r="E696" s="13"/>
      <c r="F696" s="15"/>
      <c r="G696" s="15"/>
      <c r="H696" s="16"/>
      <c r="I696" s="16"/>
      <c r="Q696" s="13"/>
      <c r="R696" s="14"/>
    </row>
    <row r="697">
      <c r="E697" s="13"/>
      <c r="F697" s="15"/>
      <c r="G697" s="15"/>
      <c r="H697" s="16"/>
      <c r="I697" s="16"/>
      <c r="Q697" s="13"/>
      <c r="R697" s="14"/>
    </row>
    <row r="698">
      <c r="E698" s="13"/>
      <c r="F698" s="15"/>
      <c r="G698" s="15"/>
      <c r="H698" s="16"/>
      <c r="I698" s="16"/>
      <c r="Q698" s="13"/>
      <c r="R698" s="14"/>
    </row>
    <row r="699">
      <c r="E699" s="13"/>
      <c r="F699" s="15"/>
      <c r="G699" s="15"/>
      <c r="H699" s="16"/>
      <c r="I699" s="16"/>
      <c r="Q699" s="13"/>
      <c r="R699" s="14"/>
    </row>
    <row r="700">
      <c r="E700" s="13"/>
      <c r="F700" s="15"/>
      <c r="G700" s="15"/>
      <c r="H700" s="16"/>
      <c r="I700" s="16"/>
      <c r="Q700" s="13"/>
      <c r="R700" s="14"/>
    </row>
    <row r="701">
      <c r="E701" s="13"/>
      <c r="F701" s="15"/>
      <c r="G701" s="15"/>
      <c r="H701" s="16"/>
      <c r="I701" s="16"/>
      <c r="Q701" s="13"/>
      <c r="R701" s="14"/>
    </row>
    <row r="702">
      <c r="E702" s="13"/>
      <c r="F702" s="15"/>
      <c r="G702" s="15"/>
      <c r="H702" s="16"/>
      <c r="I702" s="16"/>
      <c r="Q702" s="13"/>
      <c r="R702" s="14"/>
    </row>
    <row r="703">
      <c r="E703" s="13"/>
      <c r="F703" s="15"/>
      <c r="G703" s="15"/>
      <c r="H703" s="16"/>
      <c r="I703" s="16"/>
      <c r="Q703" s="13"/>
      <c r="R703" s="14"/>
    </row>
    <row r="704">
      <c r="E704" s="13"/>
      <c r="F704" s="15"/>
      <c r="G704" s="15"/>
      <c r="H704" s="16"/>
      <c r="I704" s="16"/>
      <c r="Q704" s="13"/>
      <c r="R704" s="14"/>
    </row>
    <row r="705">
      <c r="E705" s="13"/>
      <c r="F705" s="15"/>
      <c r="G705" s="15"/>
      <c r="H705" s="16"/>
      <c r="I705" s="16"/>
      <c r="Q705" s="13"/>
      <c r="R705" s="14"/>
    </row>
    <row r="706">
      <c r="E706" s="13"/>
      <c r="F706" s="15"/>
      <c r="G706" s="15"/>
      <c r="H706" s="16"/>
      <c r="I706" s="16"/>
      <c r="Q706" s="13"/>
      <c r="R706" s="14"/>
    </row>
    <row r="707">
      <c r="E707" s="13"/>
      <c r="F707" s="15"/>
      <c r="G707" s="15"/>
      <c r="H707" s="16"/>
      <c r="I707" s="16"/>
      <c r="Q707" s="13"/>
      <c r="R707" s="14"/>
    </row>
    <row r="708">
      <c r="E708" s="13"/>
      <c r="F708" s="15"/>
      <c r="G708" s="15"/>
      <c r="H708" s="16"/>
      <c r="I708" s="16"/>
      <c r="Q708" s="13"/>
      <c r="R708" s="14"/>
    </row>
    <row r="709">
      <c r="E709" s="13"/>
      <c r="F709" s="15"/>
      <c r="G709" s="15"/>
      <c r="H709" s="16"/>
      <c r="I709" s="16"/>
      <c r="Q709" s="13"/>
      <c r="R709" s="14"/>
    </row>
    <row r="710">
      <c r="E710" s="13"/>
      <c r="F710" s="15"/>
      <c r="G710" s="15"/>
      <c r="H710" s="16"/>
      <c r="I710" s="16"/>
      <c r="Q710" s="13"/>
      <c r="R710" s="14"/>
    </row>
    <row r="711">
      <c r="E711" s="13"/>
      <c r="F711" s="15"/>
      <c r="G711" s="15"/>
      <c r="H711" s="16"/>
      <c r="I711" s="16"/>
      <c r="Q711" s="13"/>
      <c r="R711" s="14"/>
    </row>
    <row r="712">
      <c r="E712" s="13"/>
      <c r="F712" s="15"/>
      <c r="G712" s="15"/>
      <c r="H712" s="16"/>
      <c r="I712" s="16"/>
      <c r="Q712" s="13"/>
      <c r="R712" s="14"/>
    </row>
    <row r="713">
      <c r="E713" s="13"/>
      <c r="F713" s="15"/>
      <c r="G713" s="15"/>
      <c r="H713" s="16"/>
      <c r="I713" s="16"/>
      <c r="Q713" s="13"/>
      <c r="R713" s="14"/>
    </row>
    <row r="714">
      <c r="E714" s="13"/>
      <c r="F714" s="15"/>
      <c r="G714" s="15"/>
      <c r="H714" s="16"/>
      <c r="I714" s="16"/>
      <c r="Q714" s="13"/>
      <c r="R714" s="14"/>
    </row>
    <row r="715">
      <c r="E715" s="13"/>
      <c r="F715" s="15"/>
      <c r="G715" s="15"/>
      <c r="H715" s="16"/>
      <c r="I715" s="16"/>
      <c r="Q715" s="13"/>
      <c r="R715" s="14"/>
    </row>
    <row r="716">
      <c r="E716" s="13"/>
      <c r="F716" s="15"/>
      <c r="G716" s="15"/>
      <c r="H716" s="16"/>
      <c r="I716" s="16"/>
      <c r="Q716" s="13"/>
      <c r="R716" s="14"/>
    </row>
    <row r="717">
      <c r="E717" s="13"/>
      <c r="F717" s="15"/>
      <c r="G717" s="15"/>
      <c r="H717" s="16"/>
      <c r="I717" s="16"/>
      <c r="Q717" s="13"/>
      <c r="R717" s="14"/>
    </row>
    <row r="718">
      <c r="E718" s="13"/>
      <c r="F718" s="15"/>
      <c r="G718" s="15"/>
      <c r="H718" s="16"/>
      <c r="I718" s="16"/>
      <c r="Q718" s="13"/>
      <c r="R718" s="14"/>
    </row>
    <row r="719">
      <c r="E719" s="13"/>
      <c r="F719" s="15"/>
      <c r="G719" s="15"/>
      <c r="H719" s="16"/>
      <c r="I719" s="16"/>
      <c r="Q719" s="13"/>
      <c r="R719" s="14"/>
    </row>
    <row r="720">
      <c r="E720" s="13"/>
      <c r="F720" s="15"/>
      <c r="G720" s="15"/>
      <c r="H720" s="16"/>
      <c r="I720" s="16"/>
      <c r="Q720" s="13"/>
      <c r="R720" s="14"/>
    </row>
    <row r="721">
      <c r="E721" s="13"/>
      <c r="F721" s="15"/>
      <c r="G721" s="15"/>
      <c r="H721" s="16"/>
      <c r="I721" s="16"/>
      <c r="Q721" s="13"/>
      <c r="R721" s="14"/>
    </row>
    <row r="722">
      <c r="E722" s="13"/>
      <c r="F722" s="15"/>
      <c r="G722" s="15"/>
      <c r="H722" s="16"/>
      <c r="I722" s="16"/>
      <c r="Q722" s="13"/>
      <c r="R722" s="14"/>
    </row>
    <row r="723">
      <c r="E723" s="13"/>
      <c r="F723" s="15"/>
      <c r="G723" s="15"/>
      <c r="H723" s="16"/>
      <c r="I723" s="16"/>
      <c r="Q723" s="13"/>
      <c r="R723" s="14"/>
    </row>
    <row r="724">
      <c r="E724" s="13"/>
      <c r="F724" s="15"/>
      <c r="G724" s="15"/>
      <c r="H724" s="16"/>
      <c r="I724" s="16"/>
      <c r="Q724" s="13"/>
      <c r="R724" s="14"/>
    </row>
    <row r="725">
      <c r="E725" s="13"/>
      <c r="F725" s="15"/>
      <c r="G725" s="15"/>
      <c r="H725" s="16"/>
      <c r="I725" s="16"/>
      <c r="Q725" s="13"/>
      <c r="R725" s="14"/>
    </row>
    <row r="726">
      <c r="E726" s="13"/>
      <c r="F726" s="15"/>
      <c r="G726" s="15"/>
      <c r="H726" s="16"/>
      <c r="I726" s="16"/>
      <c r="Q726" s="13"/>
      <c r="R726" s="14"/>
    </row>
    <row r="727">
      <c r="E727" s="13"/>
      <c r="F727" s="15"/>
      <c r="G727" s="15"/>
      <c r="H727" s="16"/>
      <c r="I727" s="16"/>
      <c r="Q727" s="13"/>
      <c r="R727" s="14"/>
    </row>
    <row r="728">
      <c r="E728" s="13"/>
      <c r="F728" s="15"/>
      <c r="G728" s="15"/>
      <c r="H728" s="16"/>
      <c r="I728" s="16"/>
      <c r="Q728" s="13"/>
      <c r="R728" s="14"/>
    </row>
    <row r="729">
      <c r="E729" s="13"/>
      <c r="F729" s="15"/>
      <c r="G729" s="15"/>
      <c r="H729" s="16"/>
      <c r="I729" s="16"/>
      <c r="Q729" s="13"/>
      <c r="R729" s="14"/>
    </row>
    <row r="730">
      <c r="E730" s="13"/>
      <c r="F730" s="15"/>
      <c r="G730" s="15"/>
      <c r="H730" s="16"/>
      <c r="I730" s="16"/>
      <c r="Q730" s="13"/>
      <c r="R730" s="14"/>
    </row>
    <row r="731">
      <c r="E731" s="13"/>
      <c r="F731" s="15"/>
      <c r="G731" s="15"/>
      <c r="H731" s="16"/>
      <c r="I731" s="16"/>
      <c r="Q731" s="13"/>
      <c r="R731" s="14"/>
    </row>
    <row r="732">
      <c r="E732" s="13"/>
      <c r="F732" s="15"/>
      <c r="G732" s="15"/>
      <c r="H732" s="16"/>
      <c r="I732" s="16"/>
      <c r="Q732" s="13"/>
      <c r="R732" s="14"/>
    </row>
    <row r="733">
      <c r="E733" s="13"/>
      <c r="F733" s="15"/>
      <c r="G733" s="15"/>
      <c r="H733" s="16"/>
      <c r="I733" s="16"/>
      <c r="Q733" s="13"/>
      <c r="R733" s="14"/>
    </row>
    <row r="734">
      <c r="E734" s="13"/>
      <c r="F734" s="15"/>
      <c r="G734" s="15"/>
      <c r="H734" s="16"/>
      <c r="I734" s="16"/>
      <c r="Q734" s="13"/>
      <c r="R734" s="14"/>
    </row>
    <row r="735">
      <c r="E735" s="13"/>
      <c r="F735" s="15"/>
      <c r="G735" s="15"/>
      <c r="H735" s="16"/>
      <c r="I735" s="16"/>
      <c r="Q735" s="13"/>
      <c r="R735" s="14"/>
    </row>
    <row r="736">
      <c r="E736" s="13"/>
      <c r="F736" s="15"/>
      <c r="G736" s="15"/>
      <c r="H736" s="16"/>
      <c r="I736" s="16"/>
      <c r="Q736" s="13"/>
      <c r="R736" s="14"/>
    </row>
    <row r="737">
      <c r="E737" s="13"/>
      <c r="F737" s="15"/>
      <c r="G737" s="15"/>
      <c r="H737" s="16"/>
      <c r="I737" s="16"/>
      <c r="Q737" s="13"/>
      <c r="R737" s="14"/>
    </row>
    <row r="738">
      <c r="E738" s="13"/>
      <c r="F738" s="15"/>
      <c r="G738" s="15"/>
      <c r="H738" s="16"/>
      <c r="I738" s="16"/>
      <c r="Q738" s="13"/>
      <c r="R738" s="14"/>
    </row>
    <row r="739">
      <c r="E739" s="13"/>
      <c r="F739" s="15"/>
      <c r="G739" s="15"/>
      <c r="H739" s="16"/>
      <c r="I739" s="16"/>
      <c r="Q739" s="13"/>
      <c r="R739" s="14"/>
    </row>
    <row r="740">
      <c r="E740" s="13"/>
      <c r="F740" s="15"/>
      <c r="G740" s="15"/>
      <c r="H740" s="16"/>
      <c r="I740" s="16"/>
      <c r="Q740" s="13"/>
      <c r="R740" s="14"/>
    </row>
    <row r="741">
      <c r="E741" s="13"/>
      <c r="F741" s="15"/>
      <c r="G741" s="15"/>
      <c r="H741" s="16"/>
      <c r="I741" s="16"/>
      <c r="Q741" s="13"/>
      <c r="R741" s="14"/>
    </row>
    <row r="742">
      <c r="E742" s="13"/>
      <c r="F742" s="15"/>
      <c r="G742" s="15"/>
      <c r="H742" s="16"/>
      <c r="I742" s="16"/>
      <c r="Q742" s="13"/>
      <c r="R742" s="14"/>
    </row>
    <row r="743">
      <c r="E743" s="13"/>
      <c r="F743" s="15"/>
      <c r="G743" s="15"/>
      <c r="H743" s="16"/>
      <c r="I743" s="16"/>
      <c r="Q743" s="13"/>
      <c r="R743" s="14"/>
    </row>
    <row r="744">
      <c r="E744" s="13"/>
      <c r="F744" s="15"/>
      <c r="G744" s="15"/>
      <c r="H744" s="16"/>
      <c r="I744" s="16"/>
      <c r="Q744" s="13"/>
      <c r="R744" s="14"/>
    </row>
    <row r="745">
      <c r="E745" s="13"/>
      <c r="F745" s="15"/>
      <c r="G745" s="15"/>
      <c r="H745" s="16"/>
      <c r="I745" s="16"/>
      <c r="Q745" s="13"/>
      <c r="R745" s="14"/>
    </row>
    <row r="746">
      <c r="E746" s="13"/>
      <c r="F746" s="15"/>
      <c r="G746" s="15"/>
      <c r="H746" s="16"/>
      <c r="I746" s="16"/>
      <c r="Q746" s="13"/>
      <c r="R746" s="14"/>
    </row>
    <row r="747">
      <c r="E747" s="13"/>
      <c r="F747" s="15"/>
      <c r="G747" s="15"/>
      <c r="H747" s="16"/>
      <c r="I747" s="16"/>
      <c r="Q747" s="13"/>
      <c r="R747" s="14"/>
    </row>
    <row r="748">
      <c r="E748" s="13"/>
      <c r="F748" s="15"/>
      <c r="G748" s="15"/>
      <c r="H748" s="16"/>
      <c r="I748" s="16"/>
      <c r="Q748" s="13"/>
      <c r="R748" s="14"/>
    </row>
    <row r="749">
      <c r="E749" s="13"/>
      <c r="F749" s="15"/>
      <c r="G749" s="15"/>
      <c r="H749" s="16"/>
      <c r="I749" s="16"/>
      <c r="Q749" s="13"/>
      <c r="R749" s="14"/>
    </row>
    <row r="750">
      <c r="E750" s="13"/>
      <c r="F750" s="15"/>
      <c r="G750" s="15"/>
      <c r="H750" s="16"/>
      <c r="I750" s="16"/>
      <c r="Q750" s="13"/>
      <c r="R750" s="14"/>
    </row>
    <row r="751">
      <c r="E751" s="13"/>
      <c r="F751" s="15"/>
      <c r="G751" s="15"/>
      <c r="H751" s="16"/>
      <c r="I751" s="16"/>
      <c r="Q751" s="13"/>
      <c r="R751" s="14"/>
    </row>
    <row r="752">
      <c r="E752" s="13"/>
      <c r="F752" s="15"/>
      <c r="G752" s="15"/>
      <c r="H752" s="16"/>
      <c r="I752" s="16"/>
      <c r="Q752" s="13"/>
      <c r="R752" s="14"/>
    </row>
    <row r="753">
      <c r="E753" s="13"/>
      <c r="F753" s="15"/>
      <c r="G753" s="15"/>
      <c r="H753" s="16"/>
      <c r="I753" s="16"/>
      <c r="Q753" s="13"/>
      <c r="R753" s="14"/>
    </row>
    <row r="754">
      <c r="E754" s="13"/>
      <c r="F754" s="15"/>
      <c r="G754" s="15"/>
      <c r="H754" s="16"/>
      <c r="I754" s="16"/>
      <c r="Q754" s="13"/>
      <c r="R754" s="14"/>
    </row>
    <row r="755">
      <c r="E755" s="13"/>
      <c r="F755" s="15"/>
      <c r="G755" s="15"/>
      <c r="H755" s="16"/>
      <c r="I755" s="16"/>
      <c r="Q755" s="13"/>
      <c r="R755" s="14"/>
    </row>
    <row r="756">
      <c r="E756" s="13"/>
      <c r="F756" s="15"/>
      <c r="G756" s="15"/>
      <c r="H756" s="16"/>
      <c r="I756" s="16"/>
      <c r="Q756" s="13"/>
      <c r="R756" s="14"/>
    </row>
    <row r="757">
      <c r="E757" s="13"/>
      <c r="F757" s="15"/>
      <c r="G757" s="15"/>
      <c r="H757" s="16"/>
      <c r="I757" s="16"/>
      <c r="Q757" s="13"/>
      <c r="R757" s="14"/>
    </row>
    <row r="758">
      <c r="E758" s="13"/>
      <c r="F758" s="15"/>
      <c r="G758" s="15"/>
      <c r="H758" s="16"/>
      <c r="I758" s="16"/>
      <c r="Q758" s="13"/>
      <c r="R758" s="14"/>
    </row>
    <row r="759">
      <c r="E759" s="13"/>
      <c r="F759" s="15"/>
      <c r="G759" s="15"/>
      <c r="H759" s="16"/>
      <c r="I759" s="16"/>
      <c r="Q759" s="13"/>
      <c r="R759" s="14"/>
    </row>
    <row r="760">
      <c r="E760" s="13"/>
      <c r="F760" s="15"/>
      <c r="G760" s="15"/>
      <c r="H760" s="16"/>
      <c r="I760" s="16"/>
      <c r="Q760" s="13"/>
      <c r="R760" s="14"/>
    </row>
    <row r="761">
      <c r="E761" s="13"/>
      <c r="F761" s="15"/>
      <c r="G761" s="15"/>
      <c r="H761" s="16"/>
      <c r="I761" s="16"/>
      <c r="Q761" s="13"/>
      <c r="R761" s="14"/>
    </row>
    <row r="762">
      <c r="E762" s="13"/>
      <c r="F762" s="15"/>
      <c r="G762" s="15"/>
      <c r="H762" s="16"/>
      <c r="I762" s="16"/>
      <c r="Q762" s="13"/>
      <c r="R762" s="14"/>
    </row>
    <row r="763">
      <c r="E763" s="13"/>
      <c r="F763" s="15"/>
      <c r="G763" s="15"/>
      <c r="H763" s="16"/>
      <c r="I763" s="16"/>
      <c r="Q763" s="13"/>
      <c r="R763" s="14"/>
    </row>
    <row r="764">
      <c r="E764" s="13"/>
      <c r="F764" s="15"/>
      <c r="G764" s="15"/>
      <c r="H764" s="16"/>
      <c r="I764" s="16"/>
      <c r="Q764" s="13"/>
      <c r="R764" s="14"/>
    </row>
    <row r="765">
      <c r="E765" s="13"/>
      <c r="F765" s="15"/>
      <c r="G765" s="15"/>
      <c r="H765" s="16"/>
      <c r="I765" s="16"/>
      <c r="Q765" s="13"/>
      <c r="R765" s="14"/>
    </row>
    <row r="766">
      <c r="E766" s="13"/>
      <c r="F766" s="15"/>
      <c r="G766" s="15"/>
      <c r="H766" s="16"/>
      <c r="I766" s="16"/>
      <c r="Q766" s="13"/>
      <c r="R766" s="14"/>
    </row>
    <row r="767">
      <c r="E767" s="13"/>
      <c r="F767" s="15"/>
      <c r="G767" s="15"/>
      <c r="H767" s="16"/>
      <c r="I767" s="16"/>
      <c r="Q767" s="13"/>
      <c r="R767" s="14"/>
    </row>
    <row r="768">
      <c r="E768" s="13"/>
      <c r="F768" s="15"/>
      <c r="G768" s="15"/>
      <c r="H768" s="16"/>
      <c r="I768" s="16"/>
      <c r="Q768" s="13"/>
      <c r="R768" s="14"/>
    </row>
    <row r="769">
      <c r="E769" s="13"/>
      <c r="F769" s="15"/>
      <c r="G769" s="15"/>
      <c r="H769" s="16"/>
      <c r="I769" s="16"/>
      <c r="Q769" s="13"/>
      <c r="R769" s="14"/>
    </row>
    <row r="770">
      <c r="E770" s="13"/>
      <c r="F770" s="15"/>
      <c r="G770" s="15"/>
      <c r="H770" s="16"/>
      <c r="I770" s="16"/>
      <c r="Q770" s="13"/>
      <c r="R770" s="14"/>
    </row>
    <row r="771">
      <c r="E771" s="13"/>
      <c r="F771" s="15"/>
      <c r="G771" s="15"/>
      <c r="H771" s="16"/>
      <c r="I771" s="16"/>
      <c r="Q771" s="13"/>
      <c r="R771" s="14"/>
    </row>
    <row r="772">
      <c r="E772" s="13"/>
      <c r="F772" s="15"/>
      <c r="G772" s="15"/>
      <c r="H772" s="16"/>
      <c r="I772" s="16"/>
      <c r="Q772" s="13"/>
      <c r="R772" s="14"/>
    </row>
    <row r="773">
      <c r="E773" s="13"/>
      <c r="F773" s="15"/>
      <c r="G773" s="15"/>
      <c r="H773" s="16"/>
      <c r="I773" s="16"/>
      <c r="Q773" s="13"/>
      <c r="R773" s="14"/>
    </row>
    <row r="774">
      <c r="E774" s="13"/>
      <c r="F774" s="15"/>
      <c r="G774" s="15"/>
      <c r="H774" s="16"/>
      <c r="I774" s="16"/>
      <c r="Q774" s="13"/>
      <c r="R774" s="14"/>
    </row>
    <row r="775">
      <c r="E775" s="13"/>
      <c r="F775" s="15"/>
      <c r="G775" s="15"/>
      <c r="H775" s="16"/>
      <c r="I775" s="16"/>
      <c r="Q775" s="13"/>
      <c r="R775" s="14"/>
    </row>
    <row r="776">
      <c r="E776" s="13"/>
      <c r="F776" s="15"/>
      <c r="G776" s="15"/>
      <c r="H776" s="16"/>
      <c r="I776" s="16"/>
      <c r="Q776" s="13"/>
      <c r="R776" s="14"/>
    </row>
    <row r="777">
      <c r="E777" s="13"/>
      <c r="F777" s="15"/>
      <c r="G777" s="15"/>
      <c r="H777" s="16"/>
      <c r="I777" s="16"/>
      <c r="Q777" s="13"/>
      <c r="R777" s="14"/>
    </row>
    <row r="778">
      <c r="E778" s="13"/>
      <c r="F778" s="15"/>
      <c r="G778" s="15"/>
      <c r="H778" s="16"/>
      <c r="I778" s="16"/>
      <c r="Q778" s="13"/>
      <c r="R778" s="14"/>
    </row>
    <row r="779">
      <c r="E779" s="13"/>
      <c r="F779" s="15"/>
      <c r="G779" s="15"/>
      <c r="H779" s="16"/>
      <c r="I779" s="16"/>
      <c r="Q779" s="13"/>
      <c r="R779" s="14"/>
    </row>
    <row r="780">
      <c r="E780" s="13"/>
      <c r="F780" s="15"/>
      <c r="G780" s="15"/>
      <c r="H780" s="16"/>
      <c r="I780" s="16"/>
      <c r="Q780" s="13"/>
      <c r="R780" s="14"/>
    </row>
    <row r="781">
      <c r="E781" s="13"/>
      <c r="F781" s="15"/>
      <c r="G781" s="15"/>
      <c r="H781" s="16"/>
      <c r="I781" s="16"/>
      <c r="Q781" s="13"/>
      <c r="R781" s="14"/>
    </row>
    <row r="782">
      <c r="E782" s="13"/>
      <c r="F782" s="15"/>
      <c r="G782" s="15"/>
      <c r="H782" s="16"/>
      <c r="I782" s="16"/>
      <c r="Q782" s="13"/>
      <c r="R782" s="14"/>
    </row>
    <row r="783">
      <c r="E783" s="13"/>
      <c r="F783" s="15"/>
      <c r="G783" s="15"/>
      <c r="H783" s="16"/>
      <c r="I783" s="16"/>
      <c r="Q783" s="13"/>
      <c r="R783" s="14"/>
    </row>
    <row r="784">
      <c r="E784" s="13"/>
      <c r="F784" s="15"/>
      <c r="G784" s="15"/>
      <c r="H784" s="16"/>
      <c r="I784" s="16"/>
      <c r="Q784" s="13"/>
      <c r="R784" s="14"/>
    </row>
    <row r="785">
      <c r="E785" s="13"/>
      <c r="F785" s="15"/>
      <c r="G785" s="15"/>
      <c r="H785" s="16"/>
      <c r="I785" s="16"/>
      <c r="Q785" s="13"/>
      <c r="R785" s="14"/>
    </row>
    <row r="786">
      <c r="E786" s="13"/>
      <c r="F786" s="15"/>
      <c r="G786" s="15"/>
      <c r="H786" s="16"/>
      <c r="I786" s="16"/>
      <c r="Q786" s="13"/>
      <c r="R786" s="14"/>
    </row>
    <row r="787">
      <c r="E787" s="13"/>
      <c r="F787" s="15"/>
      <c r="G787" s="15"/>
      <c r="H787" s="16"/>
      <c r="I787" s="16"/>
      <c r="Q787" s="13"/>
      <c r="R787" s="14"/>
    </row>
    <row r="788">
      <c r="E788" s="13"/>
      <c r="F788" s="15"/>
      <c r="G788" s="15"/>
      <c r="H788" s="16"/>
      <c r="I788" s="16"/>
      <c r="Q788" s="13"/>
      <c r="R788" s="14"/>
    </row>
    <row r="789">
      <c r="E789" s="13"/>
      <c r="F789" s="15"/>
      <c r="G789" s="15"/>
      <c r="H789" s="16"/>
      <c r="I789" s="16"/>
      <c r="Q789" s="13"/>
      <c r="R789" s="14"/>
    </row>
    <row r="790">
      <c r="E790" s="13"/>
      <c r="F790" s="15"/>
      <c r="G790" s="15"/>
      <c r="H790" s="16"/>
      <c r="I790" s="16"/>
      <c r="Q790" s="13"/>
      <c r="R790" s="14"/>
    </row>
    <row r="791">
      <c r="E791" s="13"/>
      <c r="F791" s="15"/>
      <c r="G791" s="15"/>
      <c r="H791" s="16"/>
      <c r="I791" s="16"/>
      <c r="Q791" s="13"/>
      <c r="R791" s="14"/>
    </row>
    <row r="792">
      <c r="E792" s="13"/>
      <c r="F792" s="15"/>
      <c r="G792" s="15"/>
      <c r="H792" s="16"/>
      <c r="I792" s="16"/>
      <c r="Q792" s="13"/>
      <c r="R792" s="14"/>
    </row>
    <row r="793">
      <c r="E793" s="13"/>
      <c r="F793" s="15"/>
      <c r="G793" s="15"/>
      <c r="H793" s="16"/>
      <c r="I793" s="16"/>
      <c r="Q793" s="13"/>
      <c r="R793" s="14"/>
    </row>
    <row r="794">
      <c r="E794" s="13"/>
      <c r="F794" s="15"/>
      <c r="G794" s="15"/>
      <c r="H794" s="16"/>
      <c r="I794" s="16"/>
      <c r="Q794" s="13"/>
      <c r="R794" s="14"/>
    </row>
    <row r="795">
      <c r="E795" s="13"/>
      <c r="F795" s="15"/>
      <c r="G795" s="15"/>
      <c r="H795" s="16"/>
      <c r="I795" s="16"/>
      <c r="Q795" s="13"/>
      <c r="R795" s="14"/>
    </row>
    <row r="796">
      <c r="E796" s="13"/>
      <c r="F796" s="15"/>
      <c r="G796" s="15"/>
      <c r="H796" s="16"/>
      <c r="I796" s="16"/>
      <c r="Q796" s="13"/>
      <c r="R796" s="14"/>
    </row>
    <row r="797">
      <c r="E797" s="13"/>
      <c r="F797" s="15"/>
      <c r="G797" s="15"/>
      <c r="H797" s="16"/>
      <c r="I797" s="16"/>
      <c r="Q797" s="13"/>
      <c r="R797" s="14"/>
    </row>
    <row r="798">
      <c r="E798" s="13"/>
      <c r="F798" s="15"/>
      <c r="G798" s="15"/>
      <c r="H798" s="16"/>
      <c r="I798" s="16"/>
      <c r="Q798" s="13"/>
      <c r="R798" s="14"/>
    </row>
    <row r="799">
      <c r="E799" s="13"/>
      <c r="F799" s="15"/>
      <c r="G799" s="15"/>
      <c r="H799" s="16"/>
      <c r="I799" s="16"/>
      <c r="Q799" s="13"/>
      <c r="R799" s="14"/>
    </row>
    <row r="800">
      <c r="E800" s="13"/>
      <c r="F800" s="15"/>
      <c r="G800" s="15"/>
      <c r="H800" s="16"/>
      <c r="I800" s="16"/>
      <c r="Q800" s="13"/>
      <c r="R800" s="14"/>
    </row>
    <row r="801">
      <c r="E801" s="13"/>
      <c r="F801" s="15"/>
      <c r="G801" s="15"/>
      <c r="H801" s="16"/>
      <c r="I801" s="16"/>
      <c r="Q801" s="13"/>
      <c r="R801" s="14"/>
    </row>
    <row r="802">
      <c r="E802" s="13"/>
      <c r="F802" s="15"/>
      <c r="G802" s="15"/>
      <c r="H802" s="16"/>
      <c r="I802" s="16"/>
      <c r="Q802" s="13"/>
      <c r="R802" s="14"/>
    </row>
    <row r="803">
      <c r="E803" s="13"/>
      <c r="F803" s="15"/>
      <c r="G803" s="15"/>
      <c r="H803" s="16"/>
      <c r="I803" s="16"/>
      <c r="Q803" s="13"/>
      <c r="R803" s="14"/>
    </row>
    <row r="804">
      <c r="E804" s="13"/>
      <c r="F804" s="15"/>
      <c r="G804" s="15"/>
      <c r="H804" s="16"/>
      <c r="I804" s="16"/>
      <c r="Q804" s="13"/>
      <c r="R804" s="14"/>
    </row>
    <row r="805">
      <c r="E805" s="13"/>
      <c r="F805" s="15"/>
      <c r="G805" s="15"/>
      <c r="H805" s="16"/>
      <c r="I805" s="16"/>
      <c r="Q805" s="13"/>
      <c r="R805" s="14"/>
    </row>
    <row r="806">
      <c r="E806" s="13"/>
      <c r="F806" s="15"/>
      <c r="G806" s="15"/>
      <c r="H806" s="16"/>
      <c r="I806" s="16"/>
      <c r="Q806" s="13"/>
      <c r="R806" s="14"/>
    </row>
    <row r="807">
      <c r="E807" s="13"/>
      <c r="F807" s="15"/>
      <c r="G807" s="15"/>
      <c r="H807" s="16"/>
      <c r="I807" s="16"/>
      <c r="Q807" s="13"/>
      <c r="R807" s="14"/>
    </row>
    <row r="808">
      <c r="E808" s="13"/>
      <c r="F808" s="15"/>
      <c r="G808" s="15"/>
      <c r="H808" s="16"/>
      <c r="I808" s="16"/>
      <c r="Q808" s="13"/>
      <c r="R808" s="14"/>
    </row>
    <row r="809">
      <c r="E809" s="13"/>
      <c r="F809" s="15"/>
      <c r="G809" s="15"/>
      <c r="H809" s="16"/>
      <c r="I809" s="16"/>
      <c r="Q809" s="13"/>
      <c r="R809" s="14"/>
    </row>
    <row r="810">
      <c r="E810" s="13"/>
      <c r="F810" s="15"/>
      <c r="G810" s="15"/>
      <c r="H810" s="16"/>
      <c r="I810" s="16"/>
      <c r="Q810" s="13"/>
      <c r="R810" s="14"/>
    </row>
    <row r="811">
      <c r="E811" s="13"/>
      <c r="F811" s="15"/>
      <c r="G811" s="15"/>
      <c r="H811" s="16"/>
      <c r="I811" s="16"/>
      <c r="Q811" s="13"/>
      <c r="R811" s="14"/>
    </row>
    <row r="812">
      <c r="E812" s="13"/>
      <c r="F812" s="15"/>
      <c r="G812" s="15"/>
      <c r="H812" s="16"/>
      <c r="I812" s="16"/>
      <c r="Q812" s="13"/>
      <c r="R812" s="14"/>
    </row>
    <row r="813">
      <c r="E813" s="13"/>
      <c r="F813" s="15"/>
      <c r="G813" s="15"/>
      <c r="H813" s="16"/>
      <c r="I813" s="16"/>
      <c r="Q813" s="13"/>
      <c r="R813" s="14"/>
    </row>
    <row r="814">
      <c r="E814" s="13"/>
      <c r="F814" s="15"/>
      <c r="G814" s="15"/>
      <c r="H814" s="16"/>
      <c r="I814" s="16"/>
      <c r="Q814" s="13"/>
      <c r="R814" s="14"/>
    </row>
    <row r="815">
      <c r="E815" s="13"/>
      <c r="F815" s="15"/>
      <c r="G815" s="15"/>
      <c r="H815" s="16"/>
      <c r="I815" s="16"/>
      <c r="Q815" s="13"/>
      <c r="R815" s="14"/>
    </row>
    <row r="816">
      <c r="E816" s="13"/>
      <c r="F816" s="15"/>
      <c r="G816" s="15"/>
      <c r="H816" s="16"/>
      <c r="I816" s="16"/>
      <c r="Q816" s="13"/>
      <c r="R816" s="14"/>
    </row>
    <row r="817">
      <c r="E817" s="13"/>
      <c r="F817" s="15"/>
      <c r="G817" s="15"/>
      <c r="H817" s="16"/>
      <c r="I817" s="16"/>
      <c r="Q817" s="13"/>
      <c r="R817" s="14"/>
    </row>
    <row r="818">
      <c r="E818" s="13"/>
      <c r="F818" s="15"/>
      <c r="G818" s="15"/>
      <c r="H818" s="16"/>
      <c r="I818" s="16"/>
      <c r="Q818" s="13"/>
      <c r="R818" s="14"/>
    </row>
    <row r="819">
      <c r="E819" s="13"/>
      <c r="F819" s="15"/>
      <c r="G819" s="15"/>
      <c r="H819" s="16"/>
      <c r="I819" s="16"/>
      <c r="Q819" s="13"/>
      <c r="R819" s="14"/>
    </row>
    <row r="820">
      <c r="E820" s="13"/>
      <c r="F820" s="15"/>
      <c r="G820" s="15"/>
      <c r="H820" s="16"/>
      <c r="I820" s="16"/>
      <c r="Q820" s="13"/>
      <c r="R820" s="14"/>
    </row>
    <row r="821">
      <c r="E821" s="13"/>
      <c r="F821" s="15"/>
      <c r="G821" s="15"/>
      <c r="H821" s="16"/>
      <c r="I821" s="16"/>
      <c r="Q821" s="13"/>
      <c r="R821" s="14"/>
    </row>
    <row r="822">
      <c r="E822" s="13"/>
      <c r="F822" s="15"/>
      <c r="G822" s="15"/>
      <c r="H822" s="16"/>
      <c r="I822" s="16"/>
      <c r="Q822" s="13"/>
      <c r="R822" s="14"/>
    </row>
    <row r="823">
      <c r="E823" s="13"/>
      <c r="F823" s="15"/>
      <c r="G823" s="15"/>
      <c r="H823" s="16"/>
      <c r="I823" s="16"/>
      <c r="Q823" s="13"/>
      <c r="R823" s="14"/>
    </row>
    <row r="824">
      <c r="E824" s="13"/>
      <c r="F824" s="15"/>
      <c r="G824" s="15"/>
      <c r="H824" s="16"/>
      <c r="I824" s="16"/>
      <c r="Q824" s="13"/>
      <c r="R824" s="14"/>
    </row>
    <row r="825">
      <c r="E825" s="13"/>
      <c r="F825" s="15"/>
      <c r="G825" s="15"/>
      <c r="H825" s="16"/>
      <c r="I825" s="16"/>
      <c r="Q825" s="13"/>
      <c r="R825" s="14"/>
    </row>
    <row r="826">
      <c r="E826" s="13"/>
      <c r="F826" s="15"/>
      <c r="G826" s="15"/>
      <c r="H826" s="16"/>
      <c r="I826" s="16"/>
      <c r="Q826" s="13"/>
      <c r="R826" s="14"/>
    </row>
    <row r="827">
      <c r="E827" s="13"/>
      <c r="F827" s="15"/>
      <c r="G827" s="15"/>
      <c r="H827" s="16"/>
      <c r="I827" s="16"/>
      <c r="Q827" s="13"/>
      <c r="R827" s="14"/>
    </row>
    <row r="828">
      <c r="E828" s="13"/>
      <c r="F828" s="15"/>
      <c r="G828" s="15"/>
      <c r="H828" s="16"/>
      <c r="I828" s="16"/>
      <c r="Q828" s="13"/>
      <c r="R828" s="14"/>
    </row>
    <row r="829">
      <c r="E829" s="13"/>
      <c r="F829" s="15"/>
      <c r="G829" s="15"/>
      <c r="H829" s="16"/>
      <c r="I829" s="16"/>
      <c r="Q829" s="13"/>
      <c r="R829" s="14"/>
    </row>
    <row r="830">
      <c r="E830" s="13"/>
      <c r="F830" s="15"/>
      <c r="G830" s="15"/>
      <c r="H830" s="16"/>
      <c r="I830" s="16"/>
      <c r="Q830" s="13"/>
      <c r="R830" s="14"/>
    </row>
    <row r="831">
      <c r="E831" s="13"/>
      <c r="F831" s="15"/>
      <c r="G831" s="15"/>
      <c r="H831" s="16"/>
      <c r="I831" s="16"/>
      <c r="Q831" s="13"/>
      <c r="R831" s="14"/>
    </row>
    <row r="832">
      <c r="E832" s="13"/>
      <c r="F832" s="15"/>
      <c r="G832" s="15"/>
      <c r="H832" s="16"/>
      <c r="I832" s="16"/>
      <c r="Q832" s="13"/>
      <c r="R832" s="14"/>
    </row>
    <row r="833">
      <c r="E833" s="13"/>
      <c r="F833" s="15"/>
      <c r="G833" s="15"/>
      <c r="H833" s="16"/>
      <c r="I833" s="16"/>
      <c r="Q833" s="13"/>
      <c r="R833" s="14"/>
    </row>
    <row r="834">
      <c r="E834" s="13"/>
      <c r="F834" s="15"/>
      <c r="G834" s="15"/>
      <c r="H834" s="16"/>
      <c r="I834" s="16"/>
      <c r="Q834" s="13"/>
      <c r="R834" s="14"/>
    </row>
    <row r="835">
      <c r="E835" s="13"/>
      <c r="F835" s="15"/>
      <c r="G835" s="15"/>
      <c r="H835" s="16"/>
      <c r="I835" s="16"/>
      <c r="Q835" s="13"/>
      <c r="R835" s="14"/>
    </row>
    <row r="836">
      <c r="E836" s="13"/>
      <c r="F836" s="15"/>
      <c r="G836" s="15"/>
      <c r="H836" s="16"/>
      <c r="I836" s="16"/>
      <c r="Q836" s="13"/>
      <c r="R836" s="14"/>
    </row>
    <row r="837">
      <c r="E837" s="13"/>
      <c r="F837" s="15"/>
      <c r="G837" s="15"/>
      <c r="H837" s="16"/>
      <c r="I837" s="16"/>
      <c r="Q837" s="13"/>
      <c r="R837" s="14"/>
    </row>
    <row r="838">
      <c r="E838" s="13"/>
      <c r="F838" s="15"/>
      <c r="G838" s="15"/>
      <c r="H838" s="16"/>
      <c r="I838" s="16"/>
      <c r="Q838" s="13"/>
      <c r="R838" s="14"/>
    </row>
    <row r="839">
      <c r="E839" s="13"/>
      <c r="F839" s="15"/>
      <c r="G839" s="15"/>
      <c r="H839" s="16"/>
      <c r="I839" s="16"/>
      <c r="Q839" s="13"/>
      <c r="R839" s="14"/>
    </row>
    <row r="840">
      <c r="E840" s="13"/>
      <c r="F840" s="15"/>
      <c r="G840" s="15"/>
      <c r="H840" s="16"/>
      <c r="I840" s="16"/>
      <c r="Q840" s="13"/>
      <c r="R840" s="14"/>
    </row>
    <row r="841">
      <c r="E841" s="13"/>
      <c r="F841" s="15"/>
      <c r="G841" s="15"/>
      <c r="H841" s="16"/>
      <c r="I841" s="16"/>
      <c r="Q841" s="13"/>
      <c r="R841" s="14"/>
    </row>
    <row r="842">
      <c r="E842" s="13"/>
      <c r="F842" s="15"/>
      <c r="G842" s="15"/>
      <c r="H842" s="16"/>
      <c r="I842" s="16"/>
      <c r="Q842" s="13"/>
      <c r="R842" s="14"/>
    </row>
    <row r="843">
      <c r="E843" s="13"/>
      <c r="F843" s="15"/>
      <c r="G843" s="15"/>
      <c r="H843" s="16"/>
      <c r="I843" s="16"/>
      <c r="Q843" s="13"/>
      <c r="R843" s="14"/>
    </row>
    <row r="844">
      <c r="E844" s="13"/>
      <c r="F844" s="15"/>
      <c r="G844" s="15"/>
      <c r="H844" s="16"/>
      <c r="I844" s="16"/>
      <c r="Q844" s="13"/>
      <c r="R844" s="14"/>
    </row>
    <row r="845">
      <c r="E845" s="13"/>
      <c r="F845" s="15"/>
      <c r="G845" s="15"/>
      <c r="H845" s="16"/>
      <c r="I845" s="16"/>
      <c r="Q845" s="13"/>
      <c r="R845" s="14"/>
    </row>
    <row r="846">
      <c r="E846" s="13"/>
      <c r="F846" s="15"/>
      <c r="G846" s="15"/>
      <c r="H846" s="16"/>
      <c r="I846" s="16"/>
      <c r="Q846" s="13"/>
      <c r="R846" s="14"/>
    </row>
    <row r="847">
      <c r="E847" s="13"/>
      <c r="F847" s="15"/>
      <c r="G847" s="15"/>
      <c r="H847" s="16"/>
      <c r="I847" s="16"/>
      <c r="Q847" s="13"/>
      <c r="R847" s="14"/>
    </row>
    <row r="848">
      <c r="E848" s="13"/>
      <c r="F848" s="15"/>
      <c r="G848" s="15"/>
      <c r="H848" s="16"/>
      <c r="I848" s="16"/>
      <c r="Q848" s="13"/>
      <c r="R848" s="14"/>
    </row>
    <row r="849">
      <c r="E849" s="13"/>
      <c r="F849" s="15"/>
      <c r="G849" s="15"/>
      <c r="H849" s="16"/>
      <c r="I849" s="16"/>
      <c r="Q849" s="13"/>
      <c r="R849" s="14"/>
    </row>
    <row r="850">
      <c r="E850" s="13"/>
      <c r="F850" s="15"/>
      <c r="G850" s="15"/>
      <c r="H850" s="16"/>
      <c r="I850" s="16"/>
      <c r="Q850" s="13"/>
      <c r="R850" s="14"/>
    </row>
    <row r="851">
      <c r="E851" s="13"/>
      <c r="F851" s="15"/>
      <c r="G851" s="15"/>
      <c r="H851" s="16"/>
      <c r="I851" s="16"/>
      <c r="Q851" s="13"/>
      <c r="R851" s="14"/>
    </row>
    <row r="852">
      <c r="E852" s="13"/>
      <c r="F852" s="15"/>
      <c r="G852" s="15"/>
      <c r="H852" s="16"/>
      <c r="I852" s="16"/>
      <c r="Q852" s="13"/>
      <c r="R852" s="14"/>
    </row>
    <row r="853">
      <c r="E853" s="13"/>
      <c r="F853" s="15"/>
      <c r="G853" s="15"/>
      <c r="H853" s="16"/>
      <c r="I853" s="16"/>
      <c r="Q853" s="13"/>
      <c r="R853" s="14"/>
    </row>
    <row r="854">
      <c r="E854" s="13"/>
      <c r="F854" s="15"/>
      <c r="G854" s="15"/>
      <c r="H854" s="16"/>
      <c r="I854" s="16"/>
      <c r="Q854" s="13"/>
      <c r="R854" s="14"/>
    </row>
    <row r="855">
      <c r="E855" s="13"/>
      <c r="F855" s="15"/>
      <c r="G855" s="15"/>
      <c r="H855" s="16"/>
      <c r="I855" s="16"/>
      <c r="Q855" s="13"/>
      <c r="R855" s="14"/>
    </row>
    <row r="856">
      <c r="E856" s="13"/>
      <c r="F856" s="15"/>
      <c r="G856" s="15"/>
      <c r="H856" s="16"/>
      <c r="I856" s="16"/>
      <c r="Q856" s="13"/>
      <c r="R856" s="14"/>
    </row>
    <row r="857">
      <c r="E857" s="13"/>
      <c r="F857" s="15"/>
      <c r="G857" s="15"/>
      <c r="H857" s="16"/>
      <c r="I857" s="16"/>
      <c r="Q857" s="13"/>
      <c r="R857" s="14"/>
    </row>
    <row r="858">
      <c r="E858" s="13"/>
      <c r="F858" s="15"/>
      <c r="G858" s="15"/>
      <c r="H858" s="16"/>
      <c r="I858" s="16"/>
      <c r="Q858" s="13"/>
      <c r="R858" s="14"/>
    </row>
    <row r="859">
      <c r="E859" s="13"/>
      <c r="F859" s="15"/>
      <c r="G859" s="15"/>
      <c r="H859" s="16"/>
      <c r="I859" s="16"/>
      <c r="Q859" s="13"/>
      <c r="R859" s="14"/>
    </row>
    <row r="860">
      <c r="E860" s="13"/>
      <c r="F860" s="15"/>
      <c r="G860" s="15"/>
      <c r="H860" s="16"/>
      <c r="I860" s="16"/>
      <c r="Q860" s="13"/>
      <c r="R860" s="14"/>
    </row>
    <row r="861">
      <c r="E861" s="13"/>
      <c r="F861" s="15"/>
      <c r="G861" s="15"/>
      <c r="H861" s="16"/>
      <c r="I861" s="16"/>
      <c r="Q861" s="13"/>
      <c r="R861" s="14"/>
    </row>
    <row r="862">
      <c r="E862" s="13"/>
      <c r="F862" s="15"/>
      <c r="G862" s="15"/>
      <c r="H862" s="16"/>
      <c r="I862" s="16"/>
      <c r="Q862" s="13"/>
      <c r="R862" s="14"/>
    </row>
    <row r="863">
      <c r="E863" s="13"/>
      <c r="F863" s="15"/>
      <c r="G863" s="15"/>
      <c r="H863" s="16"/>
      <c r="I863" s="16"/>
      <c r="Q863" s="13"/>
      <c r="R863" s="14"/>
    </row>
    <row r="864">
      <c r="E864" s="13"/>
      <c r="F864" s="15"/>
      <c r="G864" s="15"/>
      <c r="H864" s="16"/>
      <c r="I864" s="16"/>
      <c r="Q864" s="13"/>
      <c r="R864" s="14"/>
    </row>
    <row r="865">
      <c r="E865" s="13"/>
      <c r="F865" s="15"/>
      <c r="G865" s="15"/>
      <c r="H865" s="16"/>
      <c r="I865" s="16"/>
      <c r="Q865" s="13"/>
      <c r="R865" s="14"/>
    </row>
    <row r="866">
      <c r="E866" s="13"/>
      <c r="F866" s="15"/>
      <c r="G866" s="15"/>
      <c r="H866" s="16"/>
      <c r="I866" s="16"/>
      <c r="Q866" s="13"/>
      <c r="R866" s="14"/>
    </row>
    <row r="867">
      <c r="E867" s="13"/>
      <c r="F867" s="15"/>
      <c r="G867" s="15"/>
      <c r="H867" s="16"/>
      <c r="I867" s="16"/>
      <c r="Q867" s="13"/>
      <c r="R867" s="14"/>
    </row>
    <row r="868">
      <c r="E868" s="13"/>
      <c r="F868" s="15"/>
      <c r="G868" s="15"/>
      <c r="H868" s="16"/>
      <c r="I868" s="16"/>
      <c r="Q868" s="13"/>
      <c r="R868" s="14"/>
    </row>
    <row r="869">
      <c r="E869" s="13"/>
      <c r="F869" s="15"/>
      <c r="G869" s="15"/>
      <c r="H869" s="16"/>
      <c r="I869" s="16"/>
      <c r="Q869" s="13"/>
      <c r="R869" s="14"/>
    </row>
    <row r="870">
      <c r="E870" s="13"/>
      <c r="F870" s="15"/>
      <c r="G870" s="15"/>
      <c r="H870" s="16"/>
      <c r="I870" s="16"/>
      <c r="Q870" s="13"/>
      <c r="R870" s="14"/>
    </row>
    <row r="871">
      <c r="E871" s="13"/>
      <c r="F871" s="15"/>
      <c r="G871" s="15"/>
      <c r="H871" s="16"/>
      <c r="I871" s="16"/>
      <c r="Q871" s="13"/>
      <c r="R871" s="14"/>
    </row>
    <row r="872">
      <c r="E872" s="13"/>
      <c r="F872" s="15"/>
      <c r="G872" s="15"/>
      <c r="H872" s="16"/>
      <c r="I872" s="16"/>
      <c r="Q872" s="13"/>
      <c r="R872" s="14"/>
    </row>
    <row r="873">
      <c r="E873" s="13"/>
      <c r="F873" s="15"/>
      <c r="G873" s="15"/>
      <c r="H873" s="16"/>
      <c r="I873" s="16"/>
      <c r="Q873" s="13"/>
      <c r="R873" s="14"/>
    </row>
    <row r="874">
      <c r="E874" s="13"/>
      <c r="F874" s="15"/>
      <c r="G874" s="15"/>
      <c r="H874" s="16"/>
      <c r="I874" s="16"/>
      <c r="Q874" s="13"/>
      <c r="R874" s="14"/>
    </row>
    <row r="875">
      <c r="E875" s="13"/>
      <c r="F875" s="15"/>
      <c r="G875" s="15"/>
      <c r="H875" s="16"/>
      <c r="I875" s="16"/>
      <c r="Q875" s="13"/>
      <c r="R875" s="14"/>
    </row>
    <row r="876">
      <c r="E876" s="13"/>
      <c r="F876" s="15"/>
      <c r="G876" s="15"/>
      <c r="H876" s="16"/>
      <c r="I876" s="16"/>
      <c r="Q876" s="13"/>
      <c r="R876" s="14"/>
    </row>
    <row r="877">
      <c r="E877" s="13"/>
      <c r="F877" s="15"/>
      <c r="G877" s="15"/>
      <c r="H877" s="16"/>
      <c r="I877" s="16"/>
      <c r="Q877" s="13"/>
      <c r="R877" s="14"/>
    </row>
    <row r="878">
      <c r="E878" s="13"/>
      <c r="F878" s="15"/>
      <c r="G878" s="15"/>
      <c r="H878" s="16"/>
      <c r="I878" s="16"/>
      <c r="Q878" s="13"/>
      <c r="R878" s="14"/>
    </row>
    <row r="879">
      <c r="E879" s="13"/>
      <c r="F879" s="15"/>
      <c r="G879" s="15"/>
      <c r="H879" s="16"/>
      <c r="I879" s="16"/>
      <c r="Q879" s="13"/>
      <c r="R879" s="14"/>
    </row>
    <row r="880">
      <c r="E880" s="13"/>
      <c r="F880" s="15"/>
      <c r="G880" s="15"/>
      <c r="H880" s="16"/>
      <c r="I880" s="16"/>
      <c r="Q880" s="13"/>
      <c r="R880" s="14"/>
    </row>
    <row r="881">
      <c r="E881" s="13"/>
      <c r="F881" s="15"/>
      <c r="G881" s="15"/>
      <c r="H881" s="16"/>
      <c r="I881" s="16"/>
      <c r="Q881" s="13"/>
      <c r="R881" s="14"/>
    </row>
    <row r="882">
      <c r="E882" s="13"/>
      <c r="F882" s="15"/>
      <c r="G882" s="15"/>
      <c r="H882" s="16"/>
      <c r="I882" s="16"/>
      <c r="Q882" s="13"/>
      <c r="R882" s="14"/>
    </row>
    <row r="883">
      <c r="E883" s="13"/>
      <c r="F883" s="15"/>
      <c r="G883" s="15"/>
      <c r="H883" s="16"/>
      <c r="I883" s="16"/>
      <c r="Q883" s="13"/>
      <c r="R883" s="14"/>
    </row>
    <row r="884">
      <c r="E884" s="13"/>
      <c r="F884" s="15"/>
      <c r="G884" s="15"/>
      <c r="H884" s="16"/>
      <c r="I884" s="16"/>
      <c r="Q884" s="13"/>
      <c r="R884" s="14"/>
    </row>
    <row r="885">
      <c r="E885" s="13"/>
      <c r="F885" s="15"/>
      <c r="G885" s="15"/>
      <c r="H885" s="16"/>
      <c r="I885" s="16"/>
      <c r="Q885" s="13"/>
      <c r="R885" s="14"/>
    </row>
    <row r="886">
      <c r="E886" s="13"/>
      <c r="F886" s="15"/>
      <c r="G886" s="15"/>
      <c r="H886" s="16"/>
      <c r="I886" s="16"/>
      <c r="Q886" s="13"/>
      <c r="R886" s="14"/>
    </row>
    <row r="887">
      <c r="E887" s="13"/>
      <c r="F887" s="15"/>
      <c r="G887" s="15"/>
      <c r="H887" s="16"/>
      <c r="I887" s="16"/>
      <c r="Q887" s="13"/>
      <c r="R887" s="14"/>
    </row>
    <row r="888">
      <c r="E888" s="13"/>
      <c r="F888" s="15"/>
      <c r="G888" s="15"/>
      <c r="H888" s="16"/>
      <c r="I888" s="16"/>
      <c r="Q888" s="13"/>
      <c r="R888" s="14"/>
    </row>
    <row r="889">
      <c r="E889" s="13"/>
      <c r="F889" s="15"/>
      <c r="G889" s="15"/>
      <c r="H889" s="16"/>
      <c r="I889" s="16"/>
      <c r="Q889" s="13"/>
      <c r="R889" s="14"/>
    </row>
    <row r="890">
      <c r="E890" s="13"/>
      <c r="F890" s="15"/>
      <c r="G890" s="15"/>
      <c r="H890" s="16"/>
      <c r="I890" s="16"/>
      <c r="Q890" s="13"/>
      <c r="R890" s="14"/>
    </row>
    <row r="891">
      <c r="E891" s="13"/>
      <c r="F891" s="15"/>
      <c r="G891" s="15"/>
      <c r="H891" s="16"/>
      <c r="I891" s="16"/>
      <c r="Q891" s="13"/>
      <c r="R891" s="14"/>
    </row>
    <row r="892">
      <c r="E892" s="13"/>
      <c r="F892" s="15"/>
      <c r="G892" s="15"/>
      <c r="H892" s="16"/>
      <c r="I892" s="16"/>
      <c r="Q892" s="13"/>
      <c r="R892" s="14"/>
    </row>
    <row r="893">
      <c r="E893" s="13"/>
      <c r="F893" s="15"/>
      <c r="G893" s="15"/>
      <c r="H893" s="16"/>
      <c r="I893" s="16"/>
      <c r="Q893" s="13"/>
      <c r="R893" s="14"/>
    </row>
    <row r="894">
      <c r="E894" s="13"/>
      <c r="F894" s="15"/>
      <c r="G894" s="15"/>
      <c r="H894" s="16"/>
      <c r="I894" s="16"/>
      <c r="Q894" s="13"/>
      <c r="R894" s="14"/>
    </row>
    <row r="895">
      <c r="E895" s="13"/>
      <c r="F895" s="15"/>
      <c r="G895" s="15"/>
      <c r="H895" s="16"/>
      <c r="I895" s="16"/>
      <c r="Q895" s="13"/>
      <c r="R895" s="14"/>
    </row>
    <row r="896">
      <c r="E896" s="13"/>
      <c r="F896" s="15"/>
      <c r="G896" s="15"/>
      <c r="H896" s="16"/>
      <c r="I896" s="16"/>
      <c r="Q896" s="13"/>
      <c r="R896" s="14"/>
    </row>
    <row r="897">
      <c r="E897" s="13"/>
      <c r="F897" s="15"/>
      <c r="G897" s="15"/>
      <c r="H897" s="16"/>
      <c r="I897" s="16"/>
      <c r="Q897" s="13"/>
      <c r="R897" s="14"/>
    </row>
    <row r="898">
      <c r="E898" s="13"/>
      <c r="F898" s="15"/>
      <c r="G898" s="15"/>
      <c r="H898" s="16"/>
      <c r="I898" s="16"/>
      <c r="Q898" s="13"/>
      <c r="R898" s="14"/>
    </row>
    <row r="899">
      <c r="E899" s="13"/>
      <c r="F899" s="15"/>
      <c r="G899" s="15"/>
      <c r="H899" s="16"/>
      <c r="I899" s="16"/>
      <c r="Q899" s="13"/>
      <c r="R899" s="14"/>
    </row>
    <row r="900">
      <c r="E900" s="13"/>
      <c r="F900" s="15"/>
      <c r="G900" s="15"/>
      <c r="H900" s="16"/>
      <c r="I900" s="16"/>
      <c r="Q900" s="13"/>
      <c r="R900" s="14"/>
    </row>
    <row r="901">
      <c r="E901" s="13"/>
      <c r="F901" s="15"/>
      <c r="G901" s="15"/>
      <c r="H901" s="16"/>
      <c r="I901" s="16"/>
      <c r="Q901" s="13"/>
      <c r="R901" s="14"/>
    </row>
    <row r="902">
      <c r="E902" s="13"/>
      <c r="F902" s="15"/>
      <c r="G902" s="15"/>
      <c r="H902" s="16"/>
      <c r="I902" s="16"/>
      <c r="Q902" s="13"/>
      <c r="R902" s="14"/>
    </row>
    <row r="903">
      <c r="E903" s="13"/>
      <c r="F903" s="15"/>
      <c r="G903" s="15"/>
      <c r="H903" s="16"/>
      <c r="I903" s="16"/>
      <c r="Q903" s="13"/>
      <c r="R903" s="14"/>
    </row>
    <row r="904">
      <c r="E904" s="13"/>
      <c r="F904" s="15"/>
      <c r="G904" s="15"/>
      <c r="H904" s="16"/>
      <c r="I904" s="16"/>
      <c r="Q904" s="13"/>
      <c r="R904" s="14"/>
    </row>
    <row r="905">
      <c r="E905" s="13"/>
      <c r="F905" s="15"/>
      <c r="G905" s="15"/>
      <c r="H905" s="16"/>
      <c r="I905" s="16"/>
      <c r="Q905" s="13"/>
      <c r="R905" s="14"/>
    </row>
    <row r="906">
      <c r="E906" s="13"/>
      <c r="F906" s="15"/>
      <c r="G906" s="15"/>
      <c r="H906" s="16"/>
      <c r="I906" s="16"/>
      <c r="Q906" s="13"/>
      <c r="R906" s="14"/>
    </row>
    <row r="907">
      <c r="E907" s="13"/>
      <c r="F907" s="15"/>
      <c r="G907" s="15"/>
      <c r="H907" s="16"/>
      <c r="I907" s="16"/>
      <c r="Q907" s="13"/>
      <c r="R907" s="14"/>
    </row>
    <row r="908">
      <c r="E908" s="13"/>
      <c r="F908" s="15"/>
      <c r="G908" s="15"/>
      <c r="H908" s="16"/>
      <c r="I908" s="16"/>
      <c r="Q908" s="13"/>
      <c r="R908" s="14"/>
    </row>
    <row r="909">
      <c r="E909" s="13"/>
      <c r="F909" s="15"/>
      <c r="G909" s="15"/>
      <c r="H909" s="16"/>
      <c r="I909" s="16"/>
      <c r="Q909" s="13"/>
      <c r="R909" s="14"/>
    </row>
    <row r="910">
      <c r="E910" s="13"/>
      <c r="F910" s="15"/>
      <c r="G910" s="15"/>
      <c r="H910" s="16"/>
      <c r="I910" s="16"/>
      <c r="Q910" s="13"/>
      <c r="R910" s="14"/>
    </row>
    <row r="911">
      <c r="E911" s="13"/>
      <c r="F911" s="15"/>
      <c r="G911" s="15"/>
      <c r="H911" s="16"/>
      <c r="I911" s="16"/>
      <c r="Q911" s="13"/>
      <c r="R911" s="14"/>
    </row>
    <row r="912">
      <c r="E912" s="13"/>
      <c r="F912" s="15"/>
      <c r="G912" s="15"/>
      <c r="H912" s="16"/>
      <c r="I912" s="16"/>
      <c r="Q912" s="13"/>
      <c r="R912" s="14"/>
    </row>
    <row r="913">
      <c r="E913" s="13"/>
      <c r="F913" s="15"/>
      <c r="G913" s="15"/>
      <c r="H913" s="16"/>
      <c r="I913" s="16"/>
      <c r="Q913" s="13"/>
      <c r="R913" s="14"/>
    </row>
    <row r="914">
      <c r="E914" s="13"/>
      <c r="F914" s="15"/>
      <c r="G914" s="15"/>
      <c r="H914" s="16"/>
      <c r="I914" s="16"/>
      <c r="Q914" s="13"/>
      <c r="R914" s="14"/>
    </row>
    <row r="915">
      <c r="E915" s="13"/>
      <c r="F915" s="15"/>
      <c r="G915" s="15"/>
      <c r="H915" s="16"/>
      <c r="I915" s="16"/>
      <c r="Q915" s="13"/>
      <c r="R915" s="14"/>
    </row>
    <row r="916">
      <c r="E916" s="13"/>
      <c r="F916" s="15"/>
      <c r="G916" s="15"/>
      <c r="H916" s="16"/>
      <c r="I916" s="16"/>
      <c r="Q916" s="13"/>
      <c r="R916" s="14"/>
    </row>
    <row r="917">
      <c r="E917" s="13"/>
      <c r="F917" s="15"/>
      <c r="G917" s="15"/>
      <c r="H917" s="16"/>
      <c r="I917" s="16"/>
      <c r="Q917" s="13"/>
      <c r="R917" s="14"/>
    </row>
    <row r="918">
      <c r="E918" s="13"/>
      <c r="F918" s="15"/>
      <c r="G918" s="15"/>
      <c r="H918" s="16"/>
      <c r="I918" s="16"/>
      <c r="Q918" s="13"/>
      <c r="R918" s="14"/>
    </row>
    <row r="919">
      <c r="E919" s="13"/>
      <c r="F919" s="15"/>
      <c r="G919" s="15"/>
      <c r="H919" s="16"/>
      <c r="I919" s="16"/>
      <c r="Q919" s="13"/>
      <c r="R919" s="14"/>
    </row>
    <row r="920">
      <c r="E920" s="13"/>
      <c r="F920" s="15"/>
      <c r="G920" s="15"/>
      <c r="H920" s="16"/>
      <c r="I920" s="16"/>
      <c r="Q920" s="13"/>
      <c r="R920" s="14"/>
    </row>
    <row r="921">
      <c r="E921" s="13"/>
      <c r="F921" s="15"/>
      <c r="G921" s="15"/>
      <c r="H921" s="16"/>
      <c r="I921" s="16"/>
      <c r="Q921" s="13"/>
      <c r="R921" s="14"/>
    </row>
    <row r="922">
      <c r="E922" s="13"/>
      <c r="F922" s="15"/>
      <c r="G922" s="15"/>
      <c r="H922" s="16"/>
      <c r="I922" s="16"/>
      <c r="Q922" s="13"/>
      <c r="R922" s="14"/>
    </row>
    <row r="923">
      <c r="E923" s="13"/>
      <c r="F923" s="15"/>
      <c r="G923" s="15"/>
      <c r="H923" s="16"/>
      <c r="I923" s="16"/>
      <c r="Q923" s="13"/>
      <c r="R923" s="14"/>
    </row>
    <row r="924">
      <c r="E924" s="13"/>
      <c r="F924" s="15"/>
      <c r="G924" s="15"/>
      <c r="H924" s="16"/>
      <c r="I924" s="16"/>
      <c r="Q924" s="13"/>
      <c r="R924" s="14"/>
    </row>
    <row r="925">
      <c r="E925" s="13"/>
      <c r="F925" s="15"/>
      <c r="G925" s="15"/>
      <c r="H925" s="16"/>
      <c r="I925" s="16"/>
      <c r="Q925" s="13"/>
      <c r="R925" s="14"/>
    </row>
    <row r="926">
      <c r="E926" s="13"/>
      <c r="F926" s="15"/>
      <c r="G926" s="15"/>
      <c r="H926" s="16"/>
      <c r="I926" s="16"/>
      <c r="Q926" s="13"/>
      <c r="R926" s="14"/>
    </row>
    <row r="927">
      <c r="E927" s="13"/>
      <c r="F927" s="15"/>
      <c r="G927" s="15"/>
      <c r="H927" s="16"/>
      <c r="I927" s="16"/>
      <c r="Q927" s="13"/>
      <c r="R927" s="14"/>
    </row>
    <row r="928">
      <c r="E928" s="13"/>
      <c r="F928" s="15"/>
      <c r="G928" s="15"/>
      <c r="H928" s="16"/>
      <c r="I928" s="16"/>
      <c r="Q928" s="13"/>
      <c r="R928" s="14"/>
    </row>
    <row r="929">
      <c r="E929" s="13"/>
      <c r="F929" s="15"/>
      <c r="G929" s="15"/>
      <c r="H929" s="16"/>
      <c r="I929" s="16"/>
      <c r="Q929" s="13"/>
      <c r="R929" s="14"/>
    </row>
    <row r="930">
      <c r="E930" s="13"/>
      <c r="F930" s="15"/>
      <c r="G930" s="15"/>
      <c r="H930" s="16"/>
      <c r="I930" s="16"/>
      <c r="Q930" s="13"/>
      <c r="R930" s="14"/>
    </row>
    <row r="931">
      <c r="E931" s="13"/>
      <c r="F931" s="15"/>
      <c r="G931" s="15"/>
      <c r="H931" s="16"/>
      <c r="I931" s="16"/>
      <c r="Q931" s="13"/>
      <c r="R931" s="14"/>
    </row>
    <row r="932">
      <c r="E932" s="13"/>
      <c r="F932" s="15"/>
      <c r="G932" s="15"/>
      <c r="H932" s="16"/>
      <c r="I932" s="16"/>
      <c r="Q932" s="13"/>
      <c r="R932" s="14"/>
    </row>
    <row r="933">
      <c r="E933" s="13"/>
      <c r="F933" s="15"/>
      <c r="G933" s="15"/>
      <c r="H933" s="16"/>
      <c r="I933" s="16"/>
      <c r="Q933" s="13"/>
      <c r="R933" s="14"/>
    </row>
    <row r="934">
      <c r="E934" s="13"/>
      <c r="F934" s="15"/>
      <c r="G934" s="15"/>
      <c r="H934" s="16"/>
      <c r="I934" s="16"/>
      <c r="Q934" s="13"/>
      <c r="R934" s="14"/>
    </row>
    <row r="935">
      <c r="E935" s="13"/>
      <c r="F935" s="15"/>
      <c r="G935" s="15"/>
      <c r="H935" s="16"/>
      <c r="I935" s="16"/>
      <c r="Q935" s="13"/>
      <c r="R935" s="14"/>
    </row>
    <row r="936">
      <c r="E936" s="13"/>
      <c r="F936" s="15"/>
      <c r="G936" s="15"/>
      <c r="H936" s="16"/>
      <c r="I936" s="16"/>
      <c r="Q936" s="13"/>
      <c r="R936" s="14"/>
    </row>
    <row r="937">
      <c r="E937" s="13"/>
      <c r="F937" s="15"/>
      <c r="G937" s="15"/>
      <c r="H937" s="16"/>
      <c r="I937" s="16"/>
      <c r="Q937" s="13"/>
      <c r="R937" s="14"/>
    </row>
    <row r="938">
      <c r="E938" s="13"/>
      <c r="F938" s="15"/>
      <c r="G938" s="15"/>
      <c r="H938" s="16"/>
      <c r="I938" s="16"/>
      <c r="Q938" s="13"/>
      <c r="R938" s="14"/>
    </row>
    <row r="939">
      <c r="E939" s="13"/>
      <c r="F939" s="15"/>
      <c r="G939" s="15"/>
      <c r="H939" s="16"/>
      <c r="I939" s="16"/>
      <c r="Q939" s="13"/>
      <c r="R939" s="14"/>
    </row>
    <row r="940">
      <c r="E940" s="13"/>
      <c r="F940" s="15"/>
      <c r="G940" s="15"/>
      <c r="H940" s="16"/>
      <c r="I940" s="16"/>
      <c r="Q940" s="13"/>
      <c r="R940" s="14"/>
    </row>
    <row r="941">
      <c r="E941" s="13"/>
      <c r="F941" s="15"/>
      <c r="G941" s="15"/>
      <c r="H941" s="16"/>
      <c r="I941" s="16"/>
      <c r="Q941" s="13"/>
      <c r="R941" s="14"/>
    </row>
    <row r="942">
      <c r="E942" s="13"/>
      <c r="F942" s="15"/>
      <c r="G942" s="15"/>
      <c r="H942" s="16"/>
      <c r="I942" s="16"/>
      <c r="Q942" s="13"/>
      <c r="R942" s="14"/>
    </row>
    <row r="943">
      <c r="E943" s="13"/>
      <c r="F943" s="15"/>
      <c r="G943" s="15"/>
      <c r="H943" s="16"/>
      <c r="I943" s="16"/>
      <c r="Q943" s="13"/>
      <c r="R943" s="14"/>
    </row>
    <row r="944">
      <c r="E944" s="13"/>
      <c r="F944" s="15"/>
      <c r="G944" s="15"/>
      <c r="H944" s="16"/>
      <c r="I944" s="16"/>
      <c r="Q944" s="13"/>
      <c r="R944" s="14"/>
    </row>
    <row r="945">
      <c r="E945" s="13"/>
      <c r="F945" s="15"/>
      <c r="G945" s="15"/>
      <c r="H945" s="16"/>
      <c r="I945" s="16"/>
      <c r="Q945" s="13"/>
      <c r="R945" s="14"/>
    </row>
    <row r="946">
      <c r="E946" s="13"/>
      <c r="F946" s="15"/>
      <c r="G946" s="15"/>
      <c r="H946" s="16"/>
      <c r="I946" s="16"/>
      <c r="Q946" s="13"/>
      <c r="R946" s="14"/>
    </row>
    <row r="947">
      <c r="E947" s="13"/>
      <c r="F947" s="15"/>
      <c r="G947" s="15"/>
      <c r="H947" s="16"/>
      <c r="I947" s="16"/>
      <c r="Q947" s="13"/>
      <c r="R947" s="14"/>
    </row>
    <row r="948">
      <c r="E948" s="13"/>
      <c r="F948" s="15"/>
      <c r="G948" s="15"/>
      <c r="H948" s="16"/>
      <c r="I948" s="16"/>
      <c r="Q948" s="13"/>
      <c r="R948" s="14"/>
    </row>
    <row r="949">
      <c r="E949" s="13"/>
      <c r="F949" s="15"/>
      <c r="G949" s="15"/>
      <c r="H949" s="16"/>
      <c r="I949" s="16"/>
      <c r="Q949" s="13"/>
      <c r="R949" s="14"/>
    </row>
    <row r="950">
      <c r="E950" s="13"/>
      <c r="F950" s="15"/>
      <c r="G950" s="15"/>
      <c r="H950" s="16"/>
      <c r="I950" s="16"/>
      <c r="Q950" s="13"/>
      <c r="R950" s="14"/>
    </row>
    <row r="951">
      <c r="E951" s="13"/>
      <c r="F951" s="15"/>
      <c r="G951" s="15"/>
      <c r="H951" s="16"/>
      <c r="I951" s="16"/>
      <c r="Q951" s="13"/>
      <c r="R951" s="14"/>
    </row>
    <row r="952">
      <c r="E952" s="13"/>
      <c r="F952" s="15"/>
      <c r="G952" s="15"/>
      <c r="H952" s="16"/>
      <c r="I952" s="16"/>
      <c r="Q952" s="13"/>
      <c r="R952" s="14"/>
    </row>
    <row r="953">
      <c r="E953" s="13"/>
      <c r="F953" s="15"/>
      <c r="G953" s="15"/>
      <c r="H953" s="16"/>
      <c r="I953" s="16"/>
      <c r="Q953" s="13"/>
      <c r="R953" s="14"/>
    </row>
    <row r="954">
      <c r="E954" s="13"/>
      <c r="F954" s="15"/>
      <c r="G954" s="15"/>
      <c r="H954" s="16"/>
      <c r="I954" s="16"/>
      <c r="Q954" s="13"/>
      <c r="R954" s="14"/>
    </row>
    <row r="955">
      <c r="E955" s="13"/>
      <c r="F955" s="15"/>
      <c r="G955" s="15"/>
      <c r="H955" s="16"/>
      <c r="I955" s="16"/>
      <c r="Q955" s="13"/>
      <c r="R955" s="14"/>
    </row>
    <row r="956">
      <c r="E956" s="13"/>
      <c r="F956" s="15"/>
      <c r="G956" s="15"/>
      <c r="H956" s="16"/>
      <c r="I956" s="16"/>
      <c r="Q956" s="13"/>
      <c r="R956" s="14"/>
    </row>
    <row r="957">
      <c r="E957" s="13"/>
      <c r="F957" s="15"/>
      <c r="G957" s="15"/>
      <c r="H957" s="16"/>
      <c r="I957" s="16"/>
      <c r="Q957" s="13"/>
      <c r="R957" s="14"/>
    </row>
    <row r="958">
      <c r="E958" s="13"/>
      <c r="F958" s="15"/>
      <c r="G958" s="15"/>
      <c r="H958" s="16"/>
      <c r="I958" s="16"/>
      <c r="Q958" s="13"/>
      <c r="R958" s="14"/>
    </row>
    <row r="959">
      <c r="E959" s="13"/>
      <c r="F959" s="15"/>
      <c r="G959" s="15"/>
      <c r="H959" s="16"/>
      <c r="I959" s="16"/>
      <c r="Q959" s="13"/>
      <c r="R959" s="14"/>
    </row>
    <row r="960">
      <c r="E960" s="13"/>
      <c r="F960" s="15"/>
      <c r="G960" s="15"/>
      <c r="H960" s="16"/>
      <c r="I960" s="16"/>
      <c r="Q960" s="13"/>
      <c r="R960" s="14"/>
    </row>
    <row r="961">
      <c r="E961" s="13"/>
      <c r="F961" s="15"/>
      <c r="G961" s="15"/>
      <c r="H961" s="16"/>
      <c r="I961" s="16"/>
      <c r="Q961" s="13"/>
      <c r="R961" s="14"/>
    </row>
    <row r="962">
      <c r="E962" s="13"/>
      <c r="F962" s="15"/>
      <c r="G962" s="15"/>
      <c r="H962" s="16"/>
      <c r="I962" s="16"/>
      <c r="Q962" s="13"/>
      <c r="R962" s="14"/>
    </row>
    <row r="963">
      <c r="E963" s="13"/>
      <c r="F963" s="15"/>
      <c r="G963" s="15"/>
      <c r="H963" s="16"/>
      <c r="I963" s="16"/>
      <c r="Q963" s="13"/>
      <c r="R963" s="14"/>
    </row>
    <row r="964">
      <c r="E964" s="13"/>
      <c r="F964" s="15"/>
      <c r="G964" s="15"/>
      <c r="H964" s="16"/>
      <c r="I964" s="16"/>
      <c r="Q964" s="13"/>
      <c r="R964" s="14"/>
    </row>
    <row r="965">
      <c r="E965" s="13"/>
      <c r="F965" s="15"/>
      <c r="G965" s="15"/>
      <c r="H965" s="16"/>
      <c r="I965" s="16"/>
      <c r="Q965" s="13"/>
      <c r="R965" s="14"/>
    </row>
    <row r="966">
      <c r="E966" s="13"/>
      <c r="F966" s="15"/>
      <c r="G966" s="15"/>
      <c r="H966" s="16"/>
      <c r="I966" s="16"/>
      <c r="Q966" s="13"/>
      <c r="R966" s="14"/>
    </row>
    <row r="967">
      <c r="E967" s="13"/>
      <c r="F967" s="15"/>
      <c r="G967" s="15"/>
      <c r="H967" s="16"/>
      <c r="I967" s="16"/>
      <c r="Q967" s="13"/>
      <c r="R967" s="14"/>
    </row>
    <row r="968">
      <c r="E968" s="13"/>
      <c r="F968" s="15"/>
      <c r="G968" s="15"/>
      <c r="H968" s="16"/>
      <c r="I968" s="16"/>
      <c r="Q968" s="13"/>
      <c r="R968" s="14"/>
    </row>
    <row r="969">
      <c r="E969" s="13"/>
      <c r="F969" s="15"/>
      <c r="G969" s="15"/>
      <c r="H969" s="16"/>
      <c r="I969" s="16"/>
      <c r="Q969" s="13"/>
      <c r="R969" s="14"/>
    </row>
    <row r="970">
      <c r="E970" s="13"/>
      <c r="F970" s="15"/>
      <c r="G970" s="15"/>
      <c r="H970" s="16"/>
      <c r="I970" s="16"/>
      <c r="Q970" s="13"/>
      <c r="R970" s="14"/>
    </row>
    <row r="971">
      <c r="E971" s="13"/>
      <c r="F971" s="15"/>
      <c r="G971" s="15"/>
      <c r="H971" s="16"/>
      <c r="I971" s="16"/>
      <c r="Q971" s="13"/>
      <c r="R971" s="14"/>
    </row>
    <row r="972">
      <c r="E972" s="13"/>
      <c r="F972" s="15"/>
      <c r="G972" s="15"/>
      <c r="H972" s="16"/>
      <c r="I972" s="16"/>
      <c r="Q972" s="13"/>
      <c r="R972" s="14"/>
    </row>
    <row r="973">
      <c r="E973" s="13"/>
      <c r="F973" s="15"/>
      <c r="G973" s="15"/>
      <c r="H973" s="16"/>
      <c r="I973" s="16"/>
      <c r="Q973" s="13"/>
      <c r="R973" s="14"/>
    </row>
    <row r="974">
      <c r="E974" s="13"/>
      <c r="F974" s="15"/>
      <c r="G974" s="15"/>
      <c r="H974" s="16"/>
      <c r="I974" s="16"/>
      <c r="Q974" s="13"/>
      <c r="R974" s="14"/>
    </row>
    <row r="975">
      <c r="E975" s="13"/>
      <c r="F975" s="15"/>
      <c r="G975" s="15"/>
      <c r="H975" s="16"/>
      <c r="I975" s="16"/>
      <c r="Q975" s="13"/>
      <c r="R975" s="14"/>
    </row>
    <row r="976">
      <c r="E976" s="13"/>
      <c r="F976" s="15"/>
      <c r="G976" s="15"/>
      <c r="H976" s="16"/>
      <c r="I976" s="16"/>
      <c r="Q976" s="13"/>
      <c r="R976" s="14"/>
    </row>
    <row r="977">
      <c r="E977" s="13"/>
      <c r="F977" s="15"/>
      <c r="G977" s="15"/>
      <c r="H977" s="16"/>
      <c r="I977" s="16"/>
      <c r="Q977" s="13"/>
      <c r="R977" s="14"/>
    </row>
    <row r="978">
      <c r="E978" s="13"/>
      <c r="F978" s="15"/>
      <c r="G978" s="15"/>
      <c r="H978" s="16"/>
      <c r="I978" s="16"/>
      <c r="Q978" s="13"/>
      <c r="R978" s="14"/>
    </row>
    <row r="979">
      <c r="E979" s="13"/>
      <c r="F979" s="15"/>
      <c r="G979" s="15"/>
      <c r="H979" s="16"/>
      <c r="I979" s="16"/>
      <c r="Q979" s="13"/>
      <c r="R979" s="14"/>
    </row>
    <row r="980">
      <c r="E980" s="13"/>
      <c r="F980" s="15"/>
      <c r="G980" s="15"/>
      <c r="H980" s="16"/>
      <c r="I980" s="16"/>
      <c r="Q980" s="13"/>
      <c r="R980" s="14"/>
    </row>
    <row r="981">
      <c r="E981" s="13"/>
      <c r="F981" s="15"/>
      <c r="G981" s="15"/>
      <c r="H981" s="16"/>
      <c r="I981" s="16"/>
      <c r="Q981" s="13"/>
      <c r="R981" s="14"/>
    </row>
    <row r="982">
      <c r="E982" s="13"/>
      <c r="F982" s="15"/>
      <c r="G982" s="15"/>
      <c r="H982" s="16"/>
      <c r="I982" s="16"/>
      <c r="Q982" s="13"/>
      <c r="R982" s="14"/>
    </row>
    <row r="983">
      <c r="E983" s="13"/>
      <c r="F983" s="15"/>
      <c r="G983" s="15"/>
      <c r="H983" s="16"/>
      <c r="I983" s="16"/>
      <c r="Q983" s="13"/>
      <c r="R983" s="14"/>
    </row>
    <row r="984">
      <c r="E984" s="13"/>
      <c r="F984" s="15"/>
      <c r="G984" s="15"/>
      <c r="H984" s="16"/>
      <c r="I984" s="16"/>
      <c r="Q984" s="13"/>
      <c r="R984" s="14"/>
    </row>
    <row r="985">
      <c r="E985" s="13"/>
      <c r="F985" s="15"/>
      <c r="G985" s="15"/>
      <c r="H985" s="16"/>
      <c r="I985" s="16"/>
      <c r="Q985" s="13"/>
      <c r="R985" s="14"/>
    </row>
    <row r="986">
      <c r="E986" s="13"/>
      <c r="F986" s="15"/>
      <c r="G986" s="15"/>
      <c r="H986" s="16"/>
      <c r="I986" s="16"/>
      <c r="Q986" s="13"/>
      <c r="R986" s="14"/>
    </row>
    <row r="987">
      <c r="E987" s="13"/>
      <c r="F987" s="15"/>
      <c r="G987" s="15"/>
      <c r="H987" s="16"/>
      <c r="I987" s="16"/>
      <c r="Q987" s="13"/>
      <c r="R987" s="14"/>
    </row>
    <row r="988">
      <c r="E988" s="13"/>
      <c r="F988" s="15"/>
      <c r="G988" s="15"/>
      <c r="H988" s="16"/>
      <c r="I988" s="16"/>
      <c r="Q988" s="13"/>
      <c r="R988" s="14"/>
    </row>
    <row r="989">
      <c r="E989" s="13"/>
      <c r="F989" s="15"/>
      <c r="G989" s="15"/>
      <c r="H989" s="16"/>
      <c r="I989" s="16"/>
      <c r="Q989" s="13"/>
      <c r="R989" s="14"/>
    </row>
    <row r="990">
      <c r="E990" s="13"/>
      <c r="F990" s="15"/>
      <c r="G990" s="15"/>
      <c r="H990" s="16"/>
      <c r="I990" s="16"/>
      <c r="Q990" s="13"/>
      <c r="R990" s="14"/>
    </row>
    <row r="991">
      <c r="E991" s="13"/>
      <c r="F991" s="15"/>
      <c r="G991" s="15"/>
      <c r="H991" s="16"/>
      <c r="I991" s="16"/>
      <c r="Q991" s="13"/>
      <c r="R991" s="14"/>
    </row>
    <row r="992">
      <c r="E992" s="13"/>
      <c r="F992" s="15"/>
      <c r="G992" s="15"/>
      <c r="H992" s="16"/>
      <c r="I992" s="16"/>
      <c r="Q992" s="13"/>
      <c r="R992" s="14"/>
    </row>
    <row r="993">
      <c r="E993" s="13"/>
      <c r="F993" s="15"/>
      <c r="G993" s="15"/>
      <c r="H993" s="16"/>
      <c r="I993" s="16"/>
      <c r="Q993" s="13"/>
      <c r="R993" s="14"/>
    </row>
    <row r="994">
      <c r="E994" s="13"/>
      <c r="F994" s="15"/>
      <c r="G994" s="15"/>
      <c r="H994" s="16"/>
      <c r="I994" s="16"/>
      <c r="Q994" s="13"/>
      <c r="R994" s="14"/>
    </row>
    <row r="995">
      <c r="E995" s="13"/>
      <c r="F995" s="15"/>
      <c r="G995" s="15"/>
      <c r="H995" s="16"/>
      <c r="I995" s="16"/>
      <c r="Q995" s="13"/>
      <c r="R995" s="14"/>
    </row>
    <row r="996">
      <c r="E996" s="13"/>
      <c r="F996" s="15"/>
      <c r="G996" s="15"/>
      <c r="H996" s="16"/>
      <c r="I996" s="16"/>
      <c r="Q996" s="13"/>
      <c r="R996" s="14"/>
    </row>
    <row r="997">
      <c r="E997" s="13"/>
      <c r="F997" s="15"/>
      <c r="G997" s="15"/>
      <c r="H997" s="16"/>
      <c r="I997" s="16"/>
      <c r="Q997" s="13"/>
      <c r="R997" s="14"/>
    </row>
    <row r="998">
      <c r="E998" s="13"/>
      <c r="F998" s="15"/>
      <c r="G998" s="15"/>
      <c r="H998" s="16"/>
      <c r="I998" s="16"/>
      <c r="Q998" s="13"/>
      <c r="R998" s="14"/>
    </row>
    <row r="999">
      <c r="E999" s="13"/>
      <c r="F999" s="15"/>
      <c r="G999" s="15"/>
      <c r="H999" s="16"/>
      <c r="I999" s="16"/>
      <c r="Q999" s="13"/>
      <c r="R999" s="14"/>
    </row>
    <row r="1000">
      <c r="E1000" s="13"/>
      <c r="F1000" s="15"/>
      <c r="G1000" s="15"/>
      <c r="H1000" s="16"/>
      <c r="I1000" s="16"/>
      <c r="Q1000" s="13"/>
      <c r="R1000" s="14"/>
    </row>
    <row r="1001">
      <c r="E1001" s="13"/>
      <c r="F1001" s="15"/>
      <c r="G1001" s="15"/>
      <c r="H1001" s="16"/>
      <c r="I1001" s="16"/>
      <c r="Q1001" s="13"/>
      <c r="R1001" s="14"/>
    </row>
    <row r="1002">
      <c r="H1002" s="16"/>
      <c r="I1002" s="16"/>
      <c r="Q1002" s="13"/>
      <c r="R1002" s="14"/>
    </row>
    <row r="1003">
      <c r="H1003" s="16"/>
      <c r="I1003" s="16"/>
      <c r="Q1003" s="13"/>
      <c r="R1003" s="14"/>
    </row>
    <row r="1004">
      <c r="H1004" s="16"/>
      <c r="I1004" s="16"/>
      <c r="Q1004" s="13"/>
      <c r="R1004" s="14"/>
    </row>
    <row r="1005">
      <c r="H1005" s="16"/>
      <c r="I1005" s="16"/>
      <c r="Q1005" s="13"/>
      <c r="R1005" s="14"/>
    </row>
    <row r="1006">
      <c r="H1006" s="16"/>
      <c r="I1006" s="16"/>
      <c r="Q1006" s="13"/>
      <c r="R1006" s="14"/>
    </row>
    <row r="1007">
      <c r="H1007" s="16"/>
      <c r="I1007" s="16"/>
      <c r="Q1007" s="13"/>
      <c r="R1007" s="14"/>
    </row>
    <row r="1008">
      <c r="H1008" s="16"/>
      <c r="I1008" s="16"/>
      <c r="Q1008" s="13"/>
      <c r="R1008" s="14"/>
    </row>
    <row r="1009">
      <c r="H1009" s="16"/>
      <c r="I1009" s="16"/>
      <c r="Q1009" s="13"/>
      <c r="R1009" s="14"/>
    </row>
    <row r="1010">
      <c r="H1010" s="16"/>
      <c r="I1010" s="16"/>
      <c r="Q1010" s="13"/>
      <c r="R1010" s="14"/>
    </row>
    <row r="1011">
      <c r="H1011" s="16"/>
      <c r="I1011" s="16"/>
      <c r="Q1011" s="13"/>
      <c r="R1011" s="14"/>
    </row>
    <row r="1012">
      <c r="H1012" s="16"/>
      <c r="I1012" s="16"/>
      <c r="Q1012" s="13"/>
      <c r="R1012" s="14"/>
    </row>
    <row r="1013">
      <c r="H1013" s="16"/>
      <c r="I1013" s="16"/>
      <c r="Q1013" s="13"/>
      <c r="R1013" s="14"/>
    </row>
    <row r="1014">
      <c r="H1014" s="16"/>
      <c r="I1014" s="16"/>
      <c r="Q1014" s="13"/>
      <c r="R1014" s="14"/>
    </row>
    <row r="1015">
      <c r="H1015" s="16"/>
      <c r="I1015" s="16"/>
      <c r="Q1015" s="13"/>
      <c r="R1015" s="14"/>
    </row>
    <row r="1016">
      <c r="H1016" s="16"/>
      <c r="I1016" s="16"/>
      <c r="Q1016" s="13"/>
      <c r="R1016" s="14"/>
    </row>
    <row r="1017">
      <c r="H1017" s="16"/>
      <c r="I1017" s="16"/>
      <c r="Q1017" s="13"/>
      <c r="R1017" s="14"/>
    </row>
    <row r="1018">
      <c r="H1018" s="16"/>
      <c r="I1018" s="16"/>
      <c r="Q1018" s="13"/>
      <c r="R1018" s="14"/>
    </row>
    <row r="1019">
      <c r="H1019" s="16"/>
      <c r="I1019" s="16"/>
      <c r="Q1019" s="13"/>
      <c r="R1019" s="14"/>
    </row>
    <row r="1020">
      <c r="H1020" s="16"/>
      <c r="I1020" s="16"/>
      <c r="Q1020" s="13"/>
      <c r="R1020" s="14"/>
    </row>
    <row r="1021">
      <c r="H1021" s="16"/>
      <c r="I1021" s="16"/>
      <c r="Q1021" s="13"/>
      <c r="R1021" s="14"/>
    </row>
    <row r="1022">
      <c r="H1022" s="16"/>
      <c r="I1022" s="16"/>
      <c r="Q1022" s="13"/>
      <c r="R1022" s="14"/>
    </row>
    <row r="1023">
      <c r="H1023" s="16"/>
      <c r="I1023" s="16"/>
      <c r="Q1023" s="13"/>
      <c r="R1023" s="14"/>
    </row>
    <row r="1024">
      <c r="H1024" s="16"/>
      <c r="I1024" s="16"/>
      <c r="Q1024" s="13"/>
      <c r="R1024" s="14"/>
    </row>
    <row r="1025">
      <c r="H1025" s="16"/>
      <c r="I1025" s="16"/>
      <c r="Q1025" s="13"/>
      <c r="R1025" s="14"/>
    </row>
    <row r="1026">
      <c r="H1026" s="16"/>
      <c r="I1026" s="16"/>
      <c r="Q1026" s="13"/>
      <c r="R1026" s="14"/>
    </row>
    <row r="1027">
      <c r="H1027" s="16"/>
      <c r="I1027" s="16"/>
      <c r="Q1027" s="13"/>
      <c r="R1027" s="14"/>
    </row>
    <row r="1028">
      <c r="H1028" s="16"/>
      <c r="I1028" s="16"/>
      <c r="Q1028" s="13"/>
      <c r="R1028" s="14"/>
    </row>
    <row r="1029">
      <c r="H1029" s="16"/>
      <c r="I1029" s="16"/>
      <c r="Q1029" s="13"/>
      <c r="R1029" s="14"/>
    </row>
    <row r="1030">
      <c r="H1030" s="16"/>
      <c r="I1030" s="16"/>
      <c r="Q1030" s="13"/>
      <c r="R1030" s="14"/>
    </row>
    <row r="1031">
      <c r="H1031" s="16"/>
      <c r="I1031" s="16"/>
      <c r="Q1031" s="13"/>
      <c r="R103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1" t="s">
        <v>14</v>
      </c>
      <c r="B2" s="1">
        <v>124.0</v>
      </c>
      <c r="C2" s="1">
        <v>1096.0</v>
      </c>
      <c r="D2" s="1">
        <v>83.0</v>
      </c>
      <c r="E2" s="8">
        <v>0.00111290322580645</v>
      </c>
      <c r="F2" s="1">
        <v>61.0</v>
      </c>
      <c r="G2" s="1">
        <v>71.0</v>
      </c>
      <c r="H2" s="3">
        <v>28.2564354838709</v>
      </c>
      <c r="I2" s="3">
        <v>18.7494171660992</v>
      </c>
    </row>
    <row r="3">
      <c r="A3" s="1" t="s">
        <v>50</v>
      </c>
      <c r="B3" s="1">
        <v>106.0</v>
      </c>
      <c r="C3" s="1">
        <v>908.0</v>
      </c>
      <c r="D3" s="1">
        <v>116.0</v>
      </c>
      <c r="E3" s="8">
        <v>0.00315094339622641</v>
      </c>
      <c r="F3" s="1">
        <v>94.0</v>
      </c>
      <c r="G3" s="1">
        <v>108.0</v>
      </c>
      <c r="H3" s="3">
        <v>46.1413018867924</v>
      </c>
      <c r="I3" s="3">
        <v>28.5071208549226</v>
      </c>
    </row>
    <row r="4">
      <c r="A4" s="1" t="s">
        <v>24</v>
      </c>
      <c r="B4" s="1">
        <v>114.0</v>
      </c>
      <c r="C4" s="1">
        <v>1316.0</v>
      </c>
      <c r="D4" s="1">
        <v>130.0</v>
      </c>
      <c r="E4" s="8">
        <v>0.00791228070175438</v>
      </c>
      <c r="F4" s="1">
        <v>112.0</v>
      </c>
      <c r="G4" s="1">
        <v>128.0</v>
      </c>
      <c r="H4" s="3">
        <v>53.1961228070175</v>
      </c>
      <c r="I4" s="3">
        <v>34.9892445988614</v>
      </c>
    </row>
    <row r="5">
      <c r="A5" s="1" t="s">
        <v>42</v>
      </c>
      <c r="B5" s="1">
        <v>134.0</v>
      </c>
      <c r="C5" s="1">
        <v>983.0</v>
      </c>
      <c r="D5" s="1">
        <v>97.0</v>
      </c>
      <c r="E5" s="8">
        <v>0.00874626865671641</v>
      </c>
      <c r="F5" s="1">
        <v>84.0</v>
      </c>
      <c r="G5" s="1">
        <v>96.0</v>
      </c>
      <c r="H5" s="3">
        <v>41.4910447761194</v>
      </c>
      <c r="I5" s="3">
        <v>25.4025949511408</v>
      </c>
    </row>
    <row r="6">
      <c r="A6" s="1" t="s">
        <v>16</v>
      </c>
      <c r="B6" s="1">
        <v>117.0</v>
      </c>
      <c r="C6" s="1">
        <v>766.0</v>
      </c>
      <c r="D6" s="1">
        <v>74.0</v>
      </c>
      <c r="E6" s="8">
        <v>0.00911111111111111</v>
      </c>
      <c r="F6" s="1">
        <v>63.0</v>
      </c>
      <c r="G6" s="1">
        <v>73.0</v>
      </c>
      <c r="H6" s="3">
        <v>27.2715897435897</v>
      </c>
      <c r="I6" s="3">
        <v>20.038136709082</v>
      </c>
    </row>
    <row r="7">
      <c r="A7" s="1" t="s">
        <v>138</v>
      </c>
      <c r="B7" s="1">
        <v>64.0</v>
      </c>
      <c r="C7" s="1">
        <v>1189.0</v>
      </c>
      <c r="D7" s="1">
        <v>160.0</v>
      </c>
      <c r="E7" s="8">
        <v>0.00959375</v>
      </c>
      <c r="F7" s="1">
        <v>144.0</v>
      </c>
      <c r="G7" s="1">
        <v>159.0</v>
      </c>
      <c r="H7" s="3">
        <v>76.08409375</v>
      </c>
      <c r="I7" s="3">
        <v>43.2746817953778</v>
      </c>
    </row>
    <row r="8">
      <c r="A8" s="1" t="s">
        <v>141</v>
      </c>
      <c r="B8" s="1">
        <v>88.0</v>
      </c>
      <c r="C8" s="1">
        <v>876.0</v>
      </c>
      <c r="D8" s="1">
        <v>73.0</v>
      </c>
      <c r="E8" s="8">
        <v>0.011340909090909</v>
      </c>
      <c r="F8" s="1">
        <v>65.0</v>
      </c>
      <c r="G8" s="1">
        <v>73.0</v>
      </c>
      <c r="H8" s="3">
        <v>34.573159090909</v>
      </c>
      <c r="I8" s="3">
        <v>19.457929267622</v>
      </c>
    </row>
    <row r="9">
      <c r="A9" s="1" t="s">
        <v>18</v>
      </c>
      <c r="B9" s="1">
        <v>97.0</v>
      </c>
      <c r="C9" s="1">
        <v>839.0</v>
      </c>
      <c r="D9" s="1">
        <v>60.0</v>
      </c>
      <c r="E9" s="8">
        <v>0.011381443298969</v>
      </c>
      <c r="F9" s="1">
        <v>52.0</v>
      </c>
      <c r="G9" s="1">
        <v>60.0</v>
      </c>
      <c r="H9" s="3">
        <v>26.3919381443298</v>
      </c>
      <c r="I9" s="3">
        <v>15.3835409754915</v>
      </c>
    </row>
    <row r="10">
      <c r="A10" s="1" t="s">
        <v>36</v>
      </c>
      <c r="B10" s="1">
        <v>122.0</v>
      </c>
      <c r="C10" s="1">
        <v>907.0</v>
      </c>
      <c r="D10" s="1">
        <v>125.0</v>
      </c>
      <c r="E10" s="8">
        <v>0.0114098360655737</v>
      </c>
      <c r="F10" s="1">
        <v>112.0</v>
      </c>
      <c r="G10" s="1">
        <v>125.0</v>
      </c>
      <c r="H10" s="3">
        <v>58.7676229508196</v>
      </c>
      <c r="I10" s="3">
        <v>34.3409025954611</v>
      </c>
    </row>
    <row r="11">
      <c r="A11" s="1" t="s">
        <v>62</v>
      </c>
      <c r="B11" s="1">
        <v>118.0</v>
      </c>
      <c r="C11" s="1">
        <v>1493.0</v>
      </c>
      <c r="D11" s="1">
        <v>145.0</v>
      </c>
      <c r="E11" s="8">
        <v>0.0118474576271186</v>
      </c>
      <c r="F11" s="1">
        <v>131.0</v>
      </c>
      <c r="G11" s="1">
        <v>145.010000000002</v>
      </c>
      <c r="H11" s="3">
        <v>69.5278305084745</v>
      </c>
      <c r="I11" s="3">
        <v>39.7031775832685</v>
      </c>
    </row>
    <row r="12">
      <c r="A12" s="1" t="s">
        <v>52</v>
      </c>
      <c r="B12" s="1">
        <v>98.0</v>
      </c>
      <c r="C12" s="1">
        <v>1080.0</v>
      </c>
      <c r="D12" s="1">
        <v>78.0</v>
      </c>
      <c r="E12" s="8">
        <v>0.0123877551020408</v>
      </c>
      <c r="F12" s="1">
        <v>67.0</v>
      </c>
      <c r="G12" s="1">
        <v>79.0</v>
      </c>
      <c r="H12" s="3">
        <v>33.288081632653</v>
      </c>
      <c r="I12" s="3">
        <v>20.5218268270606</v>
      </c>
    </row>
    <row r="13">
      <c r="A13" s="1" t="s">
        <v>66</v>
      </c>
      <c r="B13" s="1">
        <v>136.0</v>
      </c>
      <c r="C13" s="1">
        <v>1539.0</v>
      </c>
      <c r="D13" s="1">
        <v>177.0</v>
      </c>
      <c r="E13" s="8">
        <v>0.0125294117647058</v>
      </c>
      <c r="F13" s="1">
        <v>159.0</v>
      </c>
      <c r="G13" s="1">
        <v>179.0</v>
      </c>
      <c r="H13" s="3">
        <v>76.4944264705882</v>
      </c>
      <c r="I13" s="3">
        <v>49.9260370429911</v>
      </c>
    </row>
    <row r="14">
      <c r="A14" s="1" t="s">
        <v>22</v>
      </c>
      <c r="B14" s="1">
        <v>140.0</v>
      </c>
      <c r="C14" s="1">
        <v>1033.0</v>
      </c>
      <c r="D14" s="1">
        <v>113.0</v>
      </c>
      <c r="E14" s="8">
        <v>0.0137</v>
      </c>
      <c r="F14" s="1">
        <v>102.0</v>
      </c>
      <c r="G14" s="1">
        <v>115.0</v>
      </c>
      <c r="H14" s="3">
        <v>54.9121428571428</v>
      </c>
      <c r="I14" s="3">
        <v>30.1695820508413</v>
      </c>
    </row>
    <row r="15">
      <c r="A15" s="1" t="s">
        <v>26</v>
      </c>
      <c r="B15" s="1">
        <v>98.0</v>
      </c>
      <c r="C15" s="1">
        <v>888.0</v>
      </c>
      <c r="D15" s="1">
        <v>58.0</v>
      </c>
      <c r="E15" s="8">
        <v>0.0142448979591836</v>
      </c>
      <c r="F15" s="1">
        <v>50.0</v>
      </c>
      <c r="G15" s="1">
        <v>59.0</v>
      </c>
      <c r="H15" s="3">
        <v>24.6778367346938</v>
      </c>
      <c r="I15" s="3">
        <v>15.1284286589067</v>
      </c>
    </row>
    <row r="16">
      <c r="A16" s="1" t="s">
        <v>30</v>
      </c>
      <c r="B16" s="1">
        <v>100.0</v>
      </c>
      <c r="C16" s="1">
        <v>1547.0</v>
      </c>
      <c r="D16" s="1">
        <v>152.0</v>
      </c>
      <c r="E16" s="8">
        <v>0.01472</v>
      </c>
      <c r="F16" s="1">
        <v>139.0</v>
      </c>
      <c r="G16" s="1">
        <v>155.0</v>
      </c>
      <c r="H16" s="3">
        <v>74.46708</v>
      </c>
      <c r="I16" s="3">
        <v>42.7500937574831</v>
      </c>
    </row>
    <row r="17">
      <c r="A17" s="1" t="s">
        <v>85</v>
      </c>
      <c r="B17" s="1">
        <v>109.0</v>
      </c>
      <c r="C17" s="1">
        <v>1642.0</v>
      </c>
      <c r="D17" s="1">
        <v>150.0</v>
      </c>
      <c r="E17" s="8">
        <v>0.0147706422018348</v>
      </c>
      <c r="F17" s="1">
        <v>136.0</v>
      </c>
      <c r="G17" s="1">
        <v>154.0</v>
      </c>
      <c r="H17" s="3">
        <v>68.863743119266</v>
      </c>
      <c r="I17" s="3">
        <v>42.1577875218962</v>
      </c>
    </row>
    <row r="18">
      <c r="A18" s="1" t="s">
        <v>20</v>
      </c>
      <c r="B18" s="1">
        <v>114.0</v>
      </c>
      <c r="C18" s="1">
        <v>1004.0</v>
      </c>
      <c r="D18" s="1">
        <v>95.0</v>
      </c>
      <c r="E18" s="8">
        <v>0.0151754385964912</v>
      </c>
      <c r="F18" s="1">
        <v>85.0</v>
      </c>
      <c r="G18" s="1">
        <v>97.0</v>
      </c>
      <c r="H18" s="3">
        <v>43.487947368421</v>
      </c>
      <c r="I18" s="3">
        <v>25.3616645781121</v>
      </c>
    </row>
    <row r="19">
      <c r="A19" s="1" t="s">
        <v>93</v>
      </c>
      <c r="B19" s="1">
        <v>59.0</v>
      </c>
      <c r="C19" s="1">
        <v>844.0</v>
      </c>
      <c r="D19" s="1">
        <v>65.0</v>
      </c>
      <c r="E19" s="8">
        <v>0.0162711864406779</v>
      </c>
      <c r="F19" s="1">
        <v>57.0</v>
      </c>
      <c r="G19" s="1">
        <v>67.0099999999984</v>
      </c>
      <c r="H19" s="3">
        <v>28.0150847457627</v>
      </c>
      <c r="I19" s="3">
        <v>17.8150843410174</v>
      </c>
    </row>
    <row r="20">
      <c r="A20" s="1" t="s">
        <v>124</v>
      </c>
      <c r="B20" s="1">
        <v>111.0</v>
      </c>
      <c r="C20" s="1">
        <v>1395.0</v>
      </c>
      <c r="D20" s="1">
        <v>94.0</v>
      </c>
      <c r="E20" s="8">
        <v>0.0164324324324324</v>
      </c>
      <c r="F20" s="1">
        <v>84.0499999999956</v>
      </c>
      <c r="G20" s="1">
        <v>97.0</v>
      </c>
      <c r="H20" s="3">
        <v>41.3315315315315</v>
      </c>
      <c r="I20" s="3">
        <v>25.7831902148359</v>
      </c>
    </row>
    <row r="21">
      <c r="A21" s="1" t="s">
        <v>72</v>
      </c>
      <c r="B21" s="1">
        <v>104.0</v>
      </c>
      <c r="C21" s="1">
        <v>1419.0</v>
      </c>
      <c r="D21" s="1">
        <v>157.0</v>
      </c>
      <c r="E21" s="8">
        <v>0.0169807692307692</v>
      </c>
      <c r="F21" s="1">
        <v>143.0</v>
      </c>
      <c r="G21" s="1">
        <v>162.0</v>
      </c>
      <c r="H21" s="3">
        <v>71.163173076923</v>
      </c>
      <c r="I21" s="3">
        <v>43.6474583973336</v>
      </c>
    </row>
    <row r="22">
      <c r="A22" s="1" t="s">
        <v>102</v>
      </c>
      <c r="B22" s="1">
        <v>129.0</v>
      </c>
      <c r="C22" s="1">
        <v>996.0</v>
      </c>
      <c r="D22" s="1">
        <v>61.0</v>
      </c>
      <c r="E22" s="8">
        <v>0.0174418604651162</v>
      </c>
      <c r="F22" s="1">
        <v>56.0</v>
      </c>
      <c r="G22" s="1">
        <v>64.0</v>
      </c>
      <c r="H22" s="3">
        <v>29.7930387596899</v>
      </c>
      <c r="I22" s="3">
        <v>17.0828189104939</v>
      </c>
    </row>
    <row r="23">
      <c r="A23" s="1" t="s">
        <v>75</v>
      </c>
      <c r="B23" s="1">
        <v>134.0</v>
      </c>
      <c r="C23" s="1">
        <v>1068.0</v>
      </c>
      <c r="D23" s="1">
        <v>82.0</v>
      </c>
      <c r="E23" s="8">
        <v>0.017865671641791</v>
      </c>
      <c r="F23" s="1">
        <v>74.0</v>
      </c>
      <c r="G23" s="1">
        <v>85.0</v>
      </c>
      <c r="H23" s="3">
        <v>34.593223880597</v>
      </c>
      <c r="I23" s="3">
        <v>22.3376336363605</v>
      </c>
    </row>
    <row r="24">
      <c r="A24" s="1" t="s">
        <v>101</v>
      </c>
      <c r="B24" s="1">
        <v>136.0</v>
      </c>
      <c r="C24" s="1">
        <v>1151.0</v>
      </c>
      <c r="D24" s="1">
        <v>79.0</v>
      </c>
      <c r="E24" s="8">
        <v>0.0179264705882352</v>
      </c>
      <c r="F24" s="1">
        <v>71.0</v>
      </c>
      <c r="G24" s="1">
        <v>82.0</v>
      </c>
      <c r="H24" s="3">
        <v>34.3727058823529</v>
      </c>
      <c r="I24" s="3">
        <v>21.3502700568805</v>
      </c>
    </row>
    <row r="25">
      <c r="A25" s="1" t="s">
        <v>65</v>
      </c>
      <c r="B25" s="1">
        <v>141.0</v>
      </c>
      <c r="C25" s="1">
        <v>1140.0</v>
      </c>
      <c r="D25" s="1">
        <v>149.0</v>
      </c>
      <c r="E25" s="8">
        <v>0.0191347517730496</v>
      </c>
      <c r="F25" s="1">
        <v>136.0</v>
      </c>
      <c r="G25" s="1">
        <v>155.0</v>
      </c>
      <c r="H25" s="3">
        <v>66.1233333333333</v>
      </c>
      <c r="I25" s="3">
        <v>40.7392313781943</v>
      </c>
    </row>
    <row r="26">
      <c r="A26" s="1" t="s">
        <v>76</v>
      </c>
      <c r="B26" s="1">
        <v>137.0</v>
      </c>
      <c r="C26" s="1">
        <v>1344.0</v>
      </c>
      <c r="D26" s="1">
        <v>189.0</v>
      </c>
      <c r="E26" s="8">
        <v>0.0191386861313868</v>
      </c>
      <c r="F26" s="1">
        <v>176.0</v>
      </c>
      <c r="G26" s="1">
        <v>196.0</v>
      </c>
      <c r="H26" s="3">
        <v>86.4732262773722</v>
      </c>
      <c r="I26" s="3">
        <v>53.5717746111942</v>
      </c>
    </row>
    <row r="27">
      <c r="A27" s="1" t="s">
        <v>38</v>
      </c>
      <c r="B27" s="1">
        <v>91.0</v>
      </c>
      <c r="C27" s="1">
        <v>869.0</v>
      </c>
      <c r="D27" s="1">
        <v>61.0</v>
      </c>
      <c r="E27" s="8">
        <v>0.0203736263736263</v>
      </c>
      <c r="F27" s="1">
        <v>55.0</v>
      </c>
      <c r="G27" s="1">
        <v>64.0</v>
      </c>
      <c r="H27" s="3">
        <v>25.2847252747252</v>
      </c>
      <c r="I27" s="3">
        <v>16.7405517942233</v>
      </c>
    </row>
    <row r="28">
      <c r="A28" s="1" t="s">
        <v>54</v>
      </c>
      <c r="B28" s="1">
        <v>127.0</v>
      </c>
      <c r="C28" s="1">
        <v>1219.0</v>
      </c>
      <c r="D28" s="1">
        <v>155.0</v>
      </c>
      <c r="E28" s="8">
        <v>0.0204881889763779</v>
      </c>
      <c r="F28" s="1">
        <v>145.0</v>
      </c>
      <c r="G28" s="1">
        <v>161.0</v>
      </c>
      <c r="H28" s="3">
        <v>75.6141259842519</v>
      </c>
      <c r="I28" s="3">
        <v>42.1805030023046</v>
      </c>
    </row>
    <row r="29">
      <c r="A29" s="1" t="s">
        <v>32</v>
      </c>
      <c r="B29" s="1">
        <v>114.0</v>
      </c>
      <c r="C29" s="1">
        <v>1024.0</v>
      </c>
      <c r="D29" s="1">
        <v>67.0</v>
      </c>
      <c r="E29" s="8">
        <v>0.0213157894736842</v>
      </c>
      <c r="F29" s="1">
        <v>62.0</v>
      </c>
      <c r="G29" s="1">
        <v>70.0</v>
      </c>
      <c r="H29" s="3">
        <v>29.1513508771929</v>
      </c>
      <c r="I29" s="3">
        <v>19.4661259069249</v>
      </c>
    </row>
    <row r="30">
      <c r="A30" s="1" t="s">
        <v>56</v>
      </c>
      <c r="B30" s="1">
        <v>120.0</v>
      </c>
      <c r="C30" s="1">
        <v>958.0</v>
      </c>
      <c r="D30" s="1">
        <v>76.0</v>
      </c>
      <c r="E30" s="8">
        <v>0.0242166666666666</v>
      </c>
      <c r="F30" s="1">
        <v>70.0</v>
      </c>
      <c r="G30" s="1">
        <v>80.0</v>
      </c>
      <c r="H30" s="3">
        <v>32.0700666666666</v>
      </c>
      <c r="I30" s="3">
        <v>22.082203784848</v>
      </c>
    </row>
    <row r="31">
      <c r="A31" s="1" t="s">
        <v>81</v>
      </c>
      <c r="B31" s="1">
        <v>119.0</v>
      </c>
      <c r="C31" s="1">
        <v>1313.0</v>
      </c>
      <c r="D31" s="1">
        <v>150.0</v>
      </c>
      <c r="E31" s="8">
        <v>0.0256470588235294</v>
      </c>
      <c r="F31" s="1">
        <v>142.0</v>
      </c>
      <c r="G31" s="1">
        <v>159.0</v>
      </c>
      <c r="H31" s="3">
        <v>73.1101680672269</v>
      </c>
      <c r="I31" s="3">
        <v>42.2288962456161</v>
      </c>
    </row>
    <row r="32">
      <c r="A32" s="1" t="s">
        <v>40</v>
      </c>
      <c r="B32" s="1">
        <v>62.0</v>
      </c>
      <c r="C32" s="1">
        <v>869.0</v>
      </c>
      <c r="D32" s="1">
        <v>73.0</v>
      </c>
      <c r="E32" s="8">
        <v>0.0259032258064516</v>
      </c>
      <c r="F32" s="1">
        <v>68.0</v>
      </c>
      <c r="G32" s="1">
        <v>78.0</v>
      </c>
      <c r="H32" s="3">
        <v>32.6379677419354</v>
      </c>
      <c r="I32" s="3">
        <v>20.741535321254</v>
      </c>
    </row>
    <row r="33">
      <c r="A33" s="1" t="s">
        <v>143</v>
      </c>
      <c r="B33" s="1">
        <v>107.0</v>
      </c>
      <c r="C33" s="1">
        <v>864.0</v>
      </c>
      <c r="D33" s="1">
        <v>56.0</v>
      </c>
      <c r="E33" s="8">
        <v>0.0271588785046728</v>
      </c>
      <c r="F33" s="1">
        <v>52.0</v>
      </c>
      <c r="G33" s="1">
        <v>60.010000000002</v>
      </c>
      <c r="H33" s="3">
        <v>27.2827102803738</v>
      </c>
      <c r="I33" s="3">
        <v>14.5949991480306</v>
      </c>
    </row>
    <row r="34">
      <c r="A34" s="1" t="s">
        <v>144</v>
      </c>
      <c r="B34" s="1">
        <v>142.0</v>
      </c>
      <c r="C34" s="1">
        <v>1272.0</v>
      </c>
      <c r="D34" s="1">
        <v>96.0</v>
      </c>
      <c r="E34" s="8">
        <v>0.0281549295774647</v>
      </c>
      <c r="F34" s="1">
        <v>91.0</v>
      </c>
      <c r="G34" s="1">
        <v>103.0</v>
      </c>
      <c r="H34" s="3">
        <v>45.7976619718309</v>
      </c>
      <c r="I34" s="3">
        <v>28.1587504754106</v>
      </c>
    </row>
    <row r="35">
      <c r="A35" s="1" t="s">
        <v>71</v>
      </c>
      <c r="B35" s="1">
        <v>112.0</v>
      </c>
      <c r="C35" s="1">
        <v>1116.0</v>
      </c>
      <c r="D35" s="1">
        <v>88.0</v>
      </c>
      <c r="E35" s="8">
        <v>0.0281964285714285</v>
      </c>
      <c r="F35" s="1">
        <v>83.0</v>
      </c>
      <c r="G35" s="1">
        <v>94.0</v>
      </c>
      <c r="H35" s="3">
        <v>47.523125</v>
      </c>
      <c r="I35" s="3">
        <v>24.0455334629966</v>
      </c>
    </row>
    <row r="36">
      <c r="A36" s="1" t="s">
        <v>69</v>
      </c>
      <c r="B36" s="1">
        <v>93.0</v>
      </c>
      <c r="C36" s="1">
        <v>1072.0</v>
      </c>
      <c r="D36" s="1">
        <v>91.0</v>
      </c>
      <c r="E36" s="8">
        <v>0.0304516129032258</v>
      </c>
      <c r="F36" s="1">
        <v>86.0</v>
      </c>
      <c r="G36" s="1">
        <v>98.0</v>
      </c>
      <c r="H36" s="3">
        <v>43.5153118279569</v>
      </c>
      <c r="I36" s="3">
        <v>25.8519931628909</v>
      </c>
    </row>
    <row r="37">
      <c r="A37" s="1" t="s">
        <v>107</v>
      </c>
      <c r="B37" s="1">
        <v>108.0</v>
      </c>
      <c r="C37" s="1">
        <v>1378.0</v>
      </c>
      <c r="D37" s="1">
        <v>147.0</v>
      </c>
      <c r="E37" s="8">
        <v>0.0310555555555555</v>
      </c>
      <c r="F37" s="1">
        <v>141.0</v>
      </c>
      <c r="G37" s="1">
        <v>157.0</v>
      </c>
      <c r="H37" s="3">
        <v>77.0398703703703</v>
      </c>
      <c r="I37" s="3">
        <v>41.9002380350112</v>
      </c>
    </row>
    <row r="38">
      <c r="A38" s="1" t="s">
        <v>63</v>
      </c>
      <c r="B38" s="1">
        <v>126.0</v>
      </c>
      <c r="C38" s="1">
        <v>968.0</v>
      </c>
      <c r="D38" s="1">
        <v>78.0</v>
      </c>
      <c r="E38" s="8">
        <v>0.0314126984126984</v>
      </c>
      <c r="F38" s="1">
        <v>74.0</v>
      </c>
      <c r="G38" s="1">
        <v>84.0</v>
      </c>
      <c r="H38" s="3">
        <v>36.4547142857142</v>
      </c>
      <c r="I38" s="3">
        <v>22.075273389832</v>
      </c>
    </row>
    <row r="39">
      <c r="A39" s="1" t="s">
        <v>96</v>
      </c>
      <c r="B39" s="1">
        <v>121.0</v>
      </c>
      <c r="C39" s="1">
        <v>972.0</v>
      </c>
      <c r="D39" s="1">
        <v>82.0</v>
      </c>
      <c r="E39" s="8">
        <v>0.0318181818181818</v>
      </c>
      <c r="F39" s="1">
        <v>78.0</v>
      </c>
      <c r="G39" s="1">
        <v>88.0</v>
      </c>
      <c r="H39" s="3">
        <v>40.4073057851239</v>
      </c>
      <c r="I39" s="3">
        <v>23.9927506857483</v>
      </c>
    </row>
    <row r="40">
      <c r="A40" s="1" t="s">
        <v>67</v>
      </c>
      <c r="B40" s="1">
        <v>111.0</v>
      </c>
      <c r="C40" s="1">
        <v>864.0</v>
      </c>
      <c r="D40" s="1">
        <v>57.0</v>
      </c>
      <c r="E40" s="8">
        <v>0.03209009009009</v>
      </c>
      <c r="F40" s="1">
        <v>53.0</v>
      </c>
      <c r="G40" s="1">
        <v>64.0</v>
      </c>
      <c r="H40" s="3">
        <v>24.4289729729729</v>
      </c>
      <c r="I40" s="3">
        <v>16.2576701296438</v>
      </c>
    </row>
    <row r="41">
      <c r="A41" s="1" t="s">
        <v>28</v>
      </c>
      <c r="B41" s="1">
        <v>80.0</v>
      </c>
      <c r="C41" s="1">
        <v>710.0</v>
      </c>
      <c r="D41" s="1">
        <v>60.0</v>
      </c>
      <c r="E41" s="8">
        <v>0.03265</v>
      </c>
      <c r="F41" s="1">
        <v>56.0</v>
      </c>
      <c r="G41" s="1">
        <v>66.0</v>
      </c>
      <c r="H41" s="3">
        <v>28.0266</v>
      </c>
      <c r="I41" s="3">
        <v>17.1858995237374</v>
      </c>
    </row>
    <row r="42">
      <c r="A42" s="1" t="s">
        <v>104</v>
      </c>
      <c r="B42" s="1">
        <v>126.0</v>
      </c>
      <c r="C42" s="1">
        <v>1327.0</v>
      </c>
      <c r="D42" s="1">
        <v>99.0</v>
      </c>
      <c r="E42" s="8">
        <v>0.033015873015873</v>
      </c>
      <c r="F42" s="1">
        <v>95.0</v>
      </c>
      <c r="G42" s="1">
        <v>108.0</v>
      </c>
      <c r="H42" s="3">
        <v>45.785746031746</v>
      </c>
      <c r="I42" s="3">
        <v>29.36237361192</v>
      </c>
    </row>
    <row r="43">
      <c r="A43" s="1" t="s">
        <v>154</v>
      </c>
      <c r="B43" s="1">
        <v>132.0</v>
      </c>
      <c r="C43" s="1">
        <v>920.0</v>
      </c>
      <c r="D43" s="1">
        <v>69.0</v>
      </c>
      <c r="E43" s="8">
        <v>0.0338787878787878</v>
      </c>
      <c r="F43" s="1">
        <v>66.0</v>
      </c>
      <c r="G43" s="1">
        <v>76.0</v>
      </c>
      <c r="H43" s="3">
        <v>29.6639393939393</v>
      </c>
      <c r="I43" s="3">
        <v>20.666967559793</v>
      </c>
    </row>
    <row r="44">
      <c r="A44" s="1" t="s">
        <v>172</v>
      </c>
      <c r="B44" s="1">
        <v>95.0</v>
      </c>
      <c r="C44" s="1">
        <v>1032.0</v>
      </c>
      <c r="D44" s="1">
        <v>136.0</v>
      </c>
      <c r="E44" s="8">
        <v>0.0354315789473684</v>
      </c>
      <c r="F44" s="1">
        <v>132.0</v>
      </c>
      <c r="G44" s="1">
        <v>147.0</v>
      </c>
      <c r="H44" s="3">
        <v>77.8171368421052</v>
      </c>
      <c r="I44" s="3">
        <v>39.4633307876433</v>
      </c>
    </row>
    <row r="45">
      <c r="A45" s="1" t="s">
        <v>64</v>
      </c>
      <c r="B45" s="1">
        <v>89.0</v>
      </c>
      <c r="C45" s="1">
        <v>1343.0</v>
      </c>
      <c r="D45" s="1">
        <v>172.0</v>
      </c>
      <c r="E45" s="8">
        <v>0.0357752808988764</v>
      </c>
      <c r="F45" s="1">
        <v>167.0</v>
      </c>
      <c r="G45" s="1">
        <v>186.0</v>
      </c>
      <c r="H45" s="3">
        <v>83.3238426966292</v>
      </c>
      <c r="I45" s="3">
        <v>51.0981268160593</v>
      </c>
    </row>
    <row r="46">
      <c r="A46" s="1" t="s">
        <v>84</v>
      </c>
      <c r="B46" s="1">
        <v>124.0</v>
      </c>
      <c r="C46" s="1">
        <v>1324.0</v>
      </c>
      <c r="D46" s="1">
        <v>129.0</v>
      </c>
      <c r="E46" s="8">
        <v>0.0364838709677419</v>
      </c>
      <c r="F46" s="1">
        <v>125.0</v>
      </c>
      <c r="G46" s="1">
        <v>140.0</v>
      </c>
      <c r="H46" s="3">
        <v>62.9429193548387</v>
      </c>
      <c r="I46" s="3">
        <v>38.1294334263289</v>
      </c>
    </row>
    <row r="47">
      <c r="A47" s="1" t="s">
        <v>46</v>
      </c>
      <c r="B47" s="1">
        <v>143.0</v>
      </c>
      <c r="C47" s="1">
        <v>917.0</v>
      </c>
      <c r="D47" s="1">
        <v>106.0</v>
      </c>
      <c r="E47" s="8">
        <v>0.0366153846153846</v>
      </c>
      <c r="F47" s="1">
        <v>102.0</v>
      </c>
      <c r="G47" s="1">
        <v>115.0</v>
      </c>
      <c r="H47" s="3">
        <v>51.2895664335664</v>
      </c>
      <c r="I47" s="3">
        <v>30.6331729363395</v>
      </c>
    </row>
    <row r="48">
      <c r="A48" s="1" t="s">
        <v>147</v>
      </c>
      <c r="B48" s="1">
        <v>52.0</v>
      </c>
      <c r="C48" s="1">
        <v>603.0</v>
      </c>
      <c r="D48" s="1">
        <v>46.0</v>
      </c>
      <c r="E48" s="8">
        <v>0.038</v>
      </c>
      <c r="F48" s="1">
        <v>44.0</v>
      </c>
      <c r="G48" s="1">
        <v>52.0</v>
      </c>
      <c r="H48" s="3">
        <v>22.6568076923076</v>
      </c>
      <c r="I48" s="3">
        <v>12.933249777576</v>
      </c>
    </row>
    <row r="49">
      <c r="A49" s="1" t="s">
        <v>68</v>
      </c>
      <c r="B49" s="1">
        <v>103.0</v>
      </c>
      <c r="C49" s="1">
        <v>1136.0</v>
      </c>
      <c r="D49" s="1">
        <v>115.0</v>
      </c>
      <c r="E49" s="8">
        <v>0.0387766990291262</v>
      </c>
      <c r="F49" s="1">
        <v>112.0</v>
      </c>
      <c r="G49" s="1">
        <v>126.0</v>
      </c>
      <c r="H49" s="3">
        <v>54.3076116504854</v>
      </c>
      <c r="I49" s="3">
        <v>33.8982632130156</v>
      </c>
    </row>
    <row r="50">
      <c r="A50" s="1" t="s">
        <v>90</v>
      </c>
      <c r="B50" s="1">
        <v>77.0</v>
      </c>
      <c r="C50" s="1">
        <v>733.0</v>
      </c>
      <c r="D50" s="1">
        <v>43.0</v>
      </c>
      <c r="E50" s="8">
        <v>0.04</v>
      </c>
      <c r="F50" s="1">
        <v>41.0</v>
      </c>
      <c r="G50" s="1">
        <v>49.0</v>
      </c>
      <c r="H50" s="3">
        <v>17.5360519480519</v>
      </c>
      <c r="I50" s="3">
        <v>13.1354195103006</v>
      </c>
    </row>
    <row r="51">
      <c r="A51" s="1" t="s">
        <v>44</v>
      </c>
      <c r="B51" s="1">
        <v>116.0</v>
      </c>
      <c r="C51" s="1">
        <v>912.0</v>
      </c>
      <c r="D51" s="1">
        <v>93.0</v>
      </c>
      <c r="E51" s="8">
        <v>0.0418793103448275</v>
      </c>
      <c r="F51" s="1">
        <v>91.0</v>
      </c>
      <c r="G51" s="1">
        <v>102.0</v>
      </c>
      <c r="H51" s="3">
        <v>50.3367413793103</v>
      </c>
      <c r="I51" s="3">
        <v>27.1877895082867</v>
      </c>
    </row>
    <row r="52">
      <c r="A52" s="1" t="s">
        <v>34</v>
      </c>
      <c r="B52" s="1">
        <v>113.0</v>
      </c>
      <c r="C52" s="1">
        <v>799.0</v>
      </c>
      <c r="D52" s="1">
        <v>46.0</v>
      </c>
      <c r="E52" s="8">
        <v>0.0419823008849557</v>
      </c>
      <c r="F52" s="1">
        <v>45.0</v>
      </c>
      <c r="G52" s="1">
        <v>52.0</v>
      </c>
      <c r="H52" s="3">
        <v>22.649221238938</v>
      </c>
      <c r="I52" s="3">
        <v>13.4468438351921</v>
      </c>
    </row>
    <row r="53">
      <c r="A53" s="1" t="s">
        <v>82</v>
      </c>
      <c r="B53" s="1">
        <v>97.0</v>
      </c>
      <c r="C53" s="1">
        <v>1243.0</v>
      </c>
      <c r="D53" s="1">
        <v>76.0</v>
      </c>
      <c r="E53" s="8">
        <v>0.0423917525773195</v>
      </c>
      <c r="F53" s="1">
        <v>74.0</v>
      </c>
      <c r="G53" s="1">
        <v>85.0</v>
      </c>
      <c r="H53" s="3">
        <v>35.9822268041237</v>
      </c>
      <c r="I53" s="3">
        <v>22.6877771168808</v>
      </c>
    </row>
    <row r="54">
      <c r="A54" s="1" t="s">
        <v>112</v>
      </c>
      <c r="B54" s="1">
        <v>124.0</v>
      </c>
      <c r="C54" s="1">
        <v>890.0</v>
      </c>
      <c r="D54" s="1">
        <v>43.0</v>
      </c>
      <c r="E54" s="8">
        <v>0.0436451612903225</v>
      </c>
      <c r="F54" s="1">
        <v>42.0</v>
      </c>
      <c r="G54" s="1">
        <v>50.0</v>
      </c>
      <c r="H54" s="3">
        <v>20.2466612903225</v>
      </c>
      <c r="I54" s="3">
        <v>12.7290275386151</v>
      </c>
    </row>
    <row r="55">
      <c r="A55" s="1" t="s">
        <v>109</v>
      </c>
      <c r="B55" s="1">
        <v>124.0</v>
      </c>
      <c r="C55" s="1">
        <v>1258.0</v>
      </c>
      <c r="D55" s="1">
        <v>103.0</v>
      </c>
      <c r="E55" s="8">
        <v>0.0455645161290322</v>
      </c>
      <c r="F55" s="1">
        <v>102.0</v>
      </c>
      <c r="G55" s="1">
        <v>116.0</v>
      </c>
      <c r="H55" s="3">
        <v>51.5504677419354</v>
      </c>
      <c r="I55" s="3">
        <v>30.4857460310804</v>
      </c>
    </row>
    <row r="56">
      <c r="A56" s="1" t="s">
        <v>126</v>
      </c>
      <c r="B56" s="1">
        <v>107.0</v>
      </c>
      <c r="C56" s="1">
        <v>1415.0</v>
      </c>
      <c r="D56" s="1">
        <v>125.0</v>
      </c>
      <c r="E56" s="8">
        <v>0.0470093457943925</v>
      </c>
      <c r="F56" s="1">
        <v>124.0</v>
      </c>
      <c r="G56" s="1">
        <v>139.0</v>
      </c>
      <c r="H56" s="3">
        <v>63.8925794392523</v>
      </c>
      <c r="I56" s="3">
        <v>36.888212957741</v>
      </c>
    </row>
    <row r="57">
      <c r="A57" s="1" t="s">
        <v>160</v>
      </c>
      <c r="B57" s="1">
        <v>121.0</v>
      </c>
      <c r="C57" s="1">
        <v>991.0</v>
      </c>
      <c r="D57" s="1">
        <v>65.0</v>
      </c>
      <c r="E57" s="8">
        <v>0.0474049586776859</v>
      </c>
      <c r="F57" s="1">
        <v>64.0</v>
      </c>
      <c r="G57" s="1">
        <v>75.0</v>
      </c>
      <c r="H57" s="3">
        <v>31.3570578512396</v>
      </c>
      <c r="I57" s="3">
        <v>19.4728328815986</v>
      </c>
    </row>
    <row r="58">
      <c r="A58" s="1" t="s">
        <v>77</v>
      </c>
      <c r="B58" s="1">
        <v>81.0</v>
      </c>
      <c r="C58" s="1">
        <v>1006.0</v>
      </c>
      <c r="D58" s="1">
        <v>135.0</v>
      </c>
      <c r="E58" s="8">
        <v>0.047753086419753</v>
      </c>
      <c r="F58" s="1">
        <v>134.0</v>
      </c>
      <c r="G58" s="1">
        <v>149.0</v>
      </c>
      <c r="H58" s="3">
        <v>72.1457530864197</v>
      </c>
      <c r="I58" s="3">
        <v>38.9330716060237</v>
      </c>
    </row>
    <row r="59">
      <c r="A59" s="1" t="s">
        <v>83</v>
      </c>
      <c r="B59" s="1">
        <v>128.0</v>
      </c>
      <c r="C59" s="1">
        <v>1015.0</v>
      </c>
      <c r="D59" s="1">
        <v>88.0</v>
      </c>
      <c r="E59" s="8">
        <v>0.04909375</v>
      </c>
      <c r="F59" s="1">
        <v>87.0</v>
      </c>
      <c r="G59" s="1">
        <v>99.0</v>
      </c>
      <c r="H59" s="3">
        <v>45.629484375</v>
      </c>
      <c r="I59" s="3">
        <v>26.0321390793501</v>
      </c>
    </row>
    <row r="60">
      <c r="A60" s="1" t="s">
        <v>60</v>
      </c>
      <c r="B60" s="1">
        <v>86.0</v>
      </c>
      <c r="C60" s="1">
        <v>1322.0</v>
      </c>
      <c r="D60" s="1">
        <v>147.0</v>
      </c>
      <c r="E60" s="8">
        <v>0.0499302325581395</v>
      </c>
      <c r="F60" s="1">
        <v>146.0</v>
      </c>
      <c r="G60" s="1">
        <v>163.0</v>
      </c>
      <c r="H60" s="3">
        <v>75.6236279069767</v>
      </c>
      <c r="I60" s="3">
        <v>43.5809502852854</v>
      </c>
    </row>
    <row r="61">
      <c r="A61" s="1" t="s">
        <v>106</v>
      </c>
      <c r="B61" s="1">
        <v>96.0</v>
      </c>
      <c r="C61" s="1">
        <v>1000.0</v>
      </c>
      <c r="D61" s="1">
        <v>168.0</v>
      </c>
      <c r="E61" s="8">
        <v>0.0500416666666666</v>
      </c>
      <c r="F61" s="1">
        <v>168.0</v>
      </c>
      <c r="G61" s="1">
        <v>184.0</v>
      </c>
      <c r="H61" s="3">
        <v>90.1551875</v>
      </c>
      <c r="I61" s="3">
        <v>50.045240992591</v>
      </c>
    </row>
    <row r="62">
      <c r="A62" s="1" t="s">
        <v>159</v>
      </c>
      <c r="B62" s="1">
        <v>130.0</v>
      </c>
      <c r="C62" s="1">
        <v>926.0</v>
      </c>
      <c r="D62" s="1">
        <v>60.0</v>
      </c>
      <c r="E62" s="8">
        <v>0.050276923076923</v>
      </c>
      <c r="F62" s="1">
        <v>60.0</v>
      </c>
      <c r="G62" s="1">
        <v>69.0</v>
      </c>
      <c r="H62" s="3">
        <v>29.5388923076923</v>
      </c>
      <c r="I62" s="3">
        <v>18.6879976621138</v>
      </c>
    </row>
    <row r="63">
      <c r="A63" s="1" t="s">
        <v>87</v>
      </c>
      <c r="B63" s="1">
        <v>95.0</v>
      </c>
      <c r="C63" s="1">
        <v>1349.0</v>
      </c>
      <c r="D63" s="1">
        <v>147.0</v>
      </c>
      <c r="E63" s="8">
        <v>0.0507368421052631</v>
      </c>
      <c r="F63" s="1">
        <v>147.0</v>
      </c>
      <c r="G63" s="1">
        <v>165.0</v>
      </c>
      <c r="H63" s="3">
        <v>69.7131789473684</v>
      </c>
      <c r="I63" s="3">
        <v>45.3957063469266</v>
      </c>
    </row>
    <row r="64">
      <c r="A64" s="1" t="s">
        <v>88</v>
      </c>
      <c r="B64" s="1">
        <v>133.0</v>
      </c>
      <c r="C64" s="1">
        <v>1457.0</v>
      </c>
      <c r="D64" s="1">
        <v>107.0</v>
      </c>
      <c r="E64" s="8">
        <v>0.0514135338345864</v>
      </c>
      <c r="F64" s="1">
        <v>107.0</v>
      </c>
      <c r="G64" s="1">
        <v>120.0</v>
      </c>
      <c r="H64" s="3">
        <v>56.1247819548872</v>
      </c>
      <c r="I64" s="3">
        <v>31.5268961577798</v>
      </c>
    </row>
    <row r="65">
      <c r="A65" s="1" t="s">
        <v>70</v>
      </c>
      <c r="B65" s="1">
        <v>123.0</v>
      </c>
      <c r="C65" s="1">
        <v>1157.0</v>
      </c>
      <c r="D65" s="1">
        <v>104.0</v>
      </c>
      <c r="E65" s="8">
        <v>0.0516585365853658</v>
      </c>
      <c r="F65" s="1">
        <v>104.0</v>
      </c>
      <c r="G65" s="1">
        <v>118.0</v>
      </c>
      <c r="H65" s="3">
        <v>55.2642113821138</v>
      </c>
      <c r="I65" s="3">
        <v>30.5252660453976</v>
      </c>
    </row>
    <row r="66">
      <c r="A66" s="1" t="s">
        <v>110</v>
      </c>
      <c r="B66" s="1">
        <v>129.0</v>
      </c>
      <c r="C66" s="1">
        <v>1299.0</v>
      </c>
      <c r="D66" s="1">
        <v>79.0</v>
      </c>
      <c r="E66" s="8">
        <v>0.0541860465116279</v>
      </c>
      <c r="F66" s="1">
        <v>79.0</v>
      </c>
      <c r="G66" s="1">
        <v>91.0</v>
      </c>
      <c r="H66" s="3">
        <v>41.5440930232558</v>
      </c>
      <c r="I66" s="3">
        <v>23.2440898879699</v>
      </c>
    </row>
    <row r="67">
      <c r="A67" s="1" t="s">
        <v>150</v>
      </c>
      <c r="B67" s="1">
        <v>81.0</v>
      </c>
      <c r="C67" s="1">
        <v>783.0</v>
      </c>
      <c r="D67" s="1">
        <v>47.0</v>
      </c>
      <c r="E67" s="8">
        <v>0.0564444444444444</v>
      </c>
      <c r="F67" s="1">
        <v>47.0</v>
      </c>
      <c r="G67" s="1">
        <v>55.0</v>
      </c>
      <c r="H67" s="3">
        <v>22.6731358024691</v>
      </c>
      <c r="I67" s="3">
        <v>14.1469143097613</v>
      </c>
    </row>
    <row r="68">
      <c r="A68" s="1" t="s">
        <v>79</v>
      </c>
      <c r="B68" s="1">
        <v>102.0</v>
      </c>
      <c r="C68" s="1">
        <v>1268.0</v>
      </c>
      <c r="D68" s="1">
        <v>93.0</v>
      </c>
      <c r="E68" s="8">
        <v>0.058078431372549</v>
      </c>
      <c r="F68" s="1">
        <v>94.0</v>
      </c>
      <c r="G68" s="1">
        <v>107.0</v>
      </c>
      <c r="H68" s="3">
        <v>48.393294117647</v>
      </c>
      <c r="I68" s="3">
        <v>28.5766671949742</v>
      </c>
    </row>
    <row r="69">
      <c r="A69" s="1" t="s">
        <v>94</v>
      </c>
      <c r="B69" s="1">
        <v>93.0</v>
      </c>
      <c r="C69" s="1">
        <v>767.0</v>
      </c>
      <c r="D69" s="1">
        <v>46.0</v>
      </c>
      <c r="E69" s="8">
        <v>0.0584086021505376</v>
      </c>
      <c r="F69" s="1">
        <v>47.0</v>
      </c>
      <c r="G69" s="1">
        <v>55.0</v>
      </c>
      <c r="H69" s="3">
        <v>20.461505376344</v>
      </c>
      <c r="I69" s="3">
        <v>14.972976442254</v>
      </c>
    </row>
    <row r="70">
      <c r="A70" s="1" t="s">
        <v>157</v>
      </c>
      <c r="B70" s="1">
        <v>125.0</v>
      </c>
      <c r="C70" s="1">
        <v>1074.0</v>
      </c>
      <c r="D70" s="1">
        <v>92.0</v>
      </c>
      <c r="E70" s="8">
        <v>0.058544</v>
      </c>
      <c r="F70" s="1">
        <v>93.0</v>
      </c>
      <c r="G70" s="1">
        <v>105.0</v>
      </c>
      <c r="H70" s="3">
        <v>47.257424</v>
      </c>
      <c r="I70" s="3">
        <v>28.9984930105725</v>
      </c>
    </row>
    <row r="71">
      <c r="A71" s="1" t="s">
        <v>86</v>
      </c>
      <c r="B71" s="1">
        <v>97.0</v>
      </c>
      <c r="C71" s="1">
        <v>1192.0</v>
      </c>
      <c r="D71" s="1">
        <v>56.0</v>
      </c>
      <c r="E71" s="8">
        <v>0.0586597938144329</v>
      </c>
      <c r="F71" s="1">
        <v>57.0</v>
      </c>
      <c r="G71" s="1">
        <v>67.0</v>
      </c>
      <c r="H71" s="3">
        <v>26.3673608247422</v>
      </c>
      <c r="I71" s="3">
        <v>17.2209867960761</v>
      </c>
    </row>
    <row r="72">
      <c r="A72" s="1" t="s">
        <v>130</v>
      </c>
      <c r="B72" s="1">
        <v>109.0</v>
      </c>
      <c r="C72" s="1">
        <v>1080.0</v>
      </c>
      <c r="D72" s="1">
        <v>108.0</v>
      </c>
      <c r="E72" s="8">
        <v>0.0613761467889908</v>
      </c>
      <c r="F72" s="1">
        <v>110.0</v>
      </c>
      <c r="G72" s="1">
        <v>123.0</v>
      </c>
      <c r="H72" s="3">
        <v>57.231743119266</v>
      </c>
      <c r="I72" s="3">
        <v>33.5841539426573</v>
      </c>
    </row>
    <row r="73">
      <c r="A73" s="1" t="s">
        <v>97</v>
      </c>
      <c r="B73" s="1">
        <v>120.0</v>
      </c>
      <c r="C73" s="1">
        <v>1385.0</v>
      </c>
      <c r="D73" s="1">
        <v>164.0</v>
      </c>
      <c r="E73" s="8">
        <v>0.064</v>
      </c>
      <c r="F73" s="1">
        <v>167.0</v>
      </c>
      <c r="G73" s="1">
        <v>185.0</v>
      </c>
      <c r="H73" s="3">
        <v>91.5772</v>
      </c>
      <c r="I73" s="3">
        <v>50.120825081264</v>
      </c>
    </row>
    <row r="74">
      <c r="A74" s="1" t="s">
        <v>116</v>
      </c>
      <c r="B74" s="1">
        <v>121.0</v>
      </c>
      <c r="C74" s="1">
        <v>1474.0</v>
      </c>
      <c r="D74" s="1">
        <v>139.0</v>
      </c>
      <c r="E74" s="8">
        <v>0.0646446280991735</v>
      </c>
      <c r="F74" s="1">
        <v>142.0</v>
      </c>
      <c r="G74" s="1">
        <v>160.0</v>
      </c>
      <c r="H74" s="3">
        <v>71.8411570247933</v>
      </c>
      <c r="I74" s="3">
        <v>43.5230208903474</v>
      </c>
    </row>
    <row r="75">
      <c r="A75" s="1" t="s">
        <v>137</v>
      </c>
      <c r="B75" s="1">
        <v>126.0</v>
      </c>
      <c r="C75" s="1">
        <v>1040.0</v>
      </c>
      <c r="D75" s="1">
        <v>71.0</v>
      </c>
      <c r="E75" s="8">
        <v>0.0649365079365079</v>
      </c>
      <c r="F75" s="1">
        <v>73.0</v>
      </c>
      <c r="G75" s="1">
        <v>82.010000000002</v>
      </c>
      <c r="H75" s="3">
        <v>40.5207936507936</v>
      </c>
      <c r="I75" s="3">
        <v>21.1191746021963</v>
      </c>
    </row>
    <row r="76">
      <c r="A76" s="1" t="s">
        <v>95</v>
      </c>
      <c r="B76" s="1">
        <v>79.0</v>
      </c>
      <c r="C76" s="1">
        <v>1004.0</v>
      </c>
      <c r="D76" s="1">
        <v>90.0</v>
      </c>
      <c r="E76" s="8">
        <v>0.0650126582278481</v>
      </c>
      <c r="F76" s="1">
        <v>92.0</v>
      </c>
      <c r="G76" s="1">
        <v>106.0</v>
      </c>
      <c r="H76" s="3">
        <v>42.9796455696202</v>
      </c>
      <c r="I76" s="3">
        <v>29.7642626740963</v>
      </c>
    </row>
    <row r="77">
      <c r="A77" s="1" t="s">
        <v>74</v>
      </c>
      <c r="B77" s="1">
        <v>104.0</v>
      </c>
      <c r="C77" s="1">
        <v>793.0</v>
      </c>
      <c r="D77" s="1">
        <v>44.0</v>
      </c>
      <c r="E77" s="8">
        <v>0.0668076923076923</v>
      </c>
      <c r="F77" s="1">
        <v>46.0</v>
      </c>
      <c r="G77" s="1">
        <v>55.0</v>
      </c>
      <c r="H77" s="3">
        <v>19.3622692307692</v>
      </c>
      <c r="I77" s="3">
        <v>14.3205793099884</v>
      </c>
    </row>
    <row r="78">
      <c r="A78" s="1" t="s">
        <v>58</v>
      </c>
      <c r="B78" s="1">
        <v>97.0</v>
      </c>
      <c r="C78" s="1">
        <v>1093.0</v>
      </c>
      <c r="D78" s="1">
        <v>81.0</v>
      </c>
      <c r="E78" s="8">
        <v>0.0669072164948453</v>
      </c>
      <c r="F78" s="1">
        <v>83.0</v>
      </c>
      <c r="G78" s="1">
        <v>94.0</v>
      </c>
      <c r="H78" s="3">
        <v>43.3069896907216</v>
      </c>
      <c r="I78" s="3">
        <v>24.8754597866618</v>
      </c>
    </row>
    <row r="79">
      <c r="A79" s="1" t="s">
        <v>149</v>
      </c>
      <c r="B79" s="1">
        <v>77.0</v>
      </c>
      <c r="C79" s="1">
        <v>1134.0</v>
      </c>
      <c r="D79" s="1">
        <v>76.0</v>
      </c>
      <c r="E79" s="8">
        <v>0.0687012987012987</v>
      </c>
      <c r="F79" s="1">
        <v>78.0</v>
      </c>
      <c r="G79" s="1">
        <v>90.0</v>
      </c>
      <c r="H79" s="3">
        <v>39.9203376623376</v>
      </c>
      <c r="I79" s="3">
        <v>23.9938599697843</v>
      </c>
    </row>
    <row r="80">
      <c r="A80" s="1" t="s">
        <v>91</v>
      </c>
      <c r="B80" s="1">
        <v>115.0</v>
      </c>
      <c r="C80" s="1">
        <v>1905.0</v>
      </c>
      <c r="D80" s="1">
        <v>225.0</v>
      </c>
      <c r="E80" s="8">
        <v>0.0704695652173913</v>
      </c>
      <c r="F80" s="1">
        <v>231.0</v>
      </c>
      <c r="G80" s="1">
        <v>253.0</v>
      </c>
      <c r="H80" s="3">
        <v>122.816</v>
      </c>
      <c r="I80" s="3">
        <v>70.0891429017052</v>
      </c>
    </row>
    <row r="81">
      <c r="A81" s="1" t="s">
        <v>48</v>
      </c>
      <c r="B81" s="1">
        <v>85.0</v>
      </c>
      <c r="C81" s="1">
        <v>1047.0</v>
      </c>
      <c r="D81" s="1">
        <v>84.0</v>
      </c>
      <c r="E81" s="8">
        <v>0.0707529411764705</v>
      </c>
      <c r="F81" s="1">
        <v>87.0</v>
      </c>
      <c r="G81" s="1">
        <v>99.0</v>
      </c>
      <c r="H81" s="3">
        <v>45.0850117647058</v>
      </c>
      <c r="I81" s="3">
        <v>26.4274865166571</v>
      </c>
    </row>
    <row r="82">
      <c r="A82" s="1" t="s">
        <v>180</v>
      </c>
      <c r="B82" s="1">
        <v>95.0</v>
      </c>
      <c r="C82" s="1">
        <v>804.0</v>
      </c>
      <c r="D82" s="1">
        <v>41.0</v>
      </c>
      <c r="E82" s="8">
        <v>0.0711368421052631</v>
      </c>
      <c r="F82" s="1">
        <v>42.0</v>
      </c>
      <c r="G82" s="1">
        <v>50.0</v>
      </c>
      <c r="H82" s="3">
        <v>22.4440631578947</v>
      </c>
      <c r="I82" s="3">
        <v>12.7875271267381</v>
      </c>
    </row>
    <row r="83">
      <c r="A83" s="1" t="s">
        <v>140</v>
      </c>
      <c r="B83" s="1">
        <v>93.0</v>
      </c>
      <c r="C83" s="1">
        <v>1043.0</v>
      </c>
      <c r="D83" s="1">
        <v>66.0</v>
      </c>
      <c r="E83" s="8">
        <v>0.0737849462365591</v>
      </c>
      <c r="F83" s="1">
        <v>69.0</v>
      </c>
      <c r="G83" s="1">
        <v>80.0</v>
      </c>
      <c r="H83" s="3">
        <v>35.0083010752688</v>
      </c>
      <c r="I83" s="3">
        <v>20.3020708704748</v>
      </c>
    </row>
    <row r="84">
      <c r="A84" s="1" t="s">
        <v>128</v>
      </c>
      <c r="B84" s="1">
        <v>114.0</v>
      </c>
      <c r="C84" s="1">
        <v>1786.0</v>
      </c>
      <c r="D84" s="1">
        <v>157.0</v>
      </c>
      <c r="E84" s="8">
        <v>0.0744035087719298</v>
      </c>
      <c r="F84" s="1">
        <v>164.0</v>
      </c>
      <c r="G84" s="1">
        <v>183.0</v>
      </c>
      <c r="H84" s="3">
        <v>79.9252280701754</v>
      </c>
      <c r="I84" s="3">
        <v>49.234675293575</v>
      </c>
    </row>
    <row r="85">
      <c r="A85" s="1" t="s">
        <v>100</v>
      </c>
      <c r="B85" s="1">
        <v>114.0</v>
      </c>
      <c r="C85" s="1">
        <v>1602.0</v>
      </c>
      <c r="D85" s="1">
        <v>104.0</v>
      </c>
      <c r="E85" s="8">
        <v>0.075719298245614</v>
      </c>
      <c r="F85" s="1">
        <v>108.0</v>
      </c>
      <c r="G85" s="1">
        <v>122.0</v>
      </c>
      <c r="H85" s="3">
        <v>56.1088070175438</v>
      </c>
      <c r="I85" s="3">
        <v>32.2908017913953</v>
      </c>
    </row>
    <row r="86">
      <c r="A86" s="1" t="s">
        <v>117</v>
      </c>
      <c r="B86" s="1">
        <v>111.0</v>
      </c>
      <c r="C86" s="1">
        <v>846.0</v>
      </c>
      <c r="D86" s="1">
        <v>55.0</v>
      </c>
      <c r="E86" s="8">
        <v>0.0792792792792792</v>
      </c>
      <c r="F86" s="1">
        <v>58.0</v>
      </c>
      <c r="G86" s="1">
        <v>69.0</v>
      </c>
      <c r="H86" s="3">
        <v>29.0119459459459</v>
      </c>
      <c r="I86" s="3">
        <v>17.3065155047455</v>
      </c>
    </row>
    <row r="87">
      <c r="A87" s="1" t="s">
        <v>118</v>
      </c>
      <c r="B87" s="1">
        <v>136.0</v>
      </c>
      <c r="C87" s="1">
        <v>1406.0</v>
      </c>
      <c r="D87" s="1">
        <v>203.0</v>
      </c>
      <c r="E87" s="8">
        <v>0.0812647058823529</v>
      </c>
      <c r="F87" s="1">
        <v>212.0</v>
      </c>
      <c r="G87" s="1">
        <v>233.0</v>
      </c>
      <c r="H87" s="3">
        <v>107.794308823529</v>
      </c>
      <c r="I87" s="3">
        <v>64.20299951733</v>
      </c>
    </row>
    <row r="88">
      <c r="A88" s="1" t="s">
        <v>133</v>
      </c>
      <c r="B88" s="1">
        <v>76.0</v>
      </c>
      <c r="C88" s="1">
        <v>1463.0</v>
      </c>
      <c r="D88" s="1">
        <v>130.0</v>
      </c>
      <c r="E88" s="8">
        <v>0.0825</v>
      </c>
      <c r="F88" s="1">
        <v>136.0</v>
      </c>
      <c r="G88" s="1">
        <v>153.0</v>
      </c>
      <c r="H88" s="3">
        <v>73.3549210526315</v>
      </c>
      <c r="I88" s="3">
        <v>39.5933042517635</v>
      </c>
    </row>
    <row r="89">
      <c r="A89" s="1" t="s">
        <v>108</v>
      </c>
      <c r="B89" s="1">
        <v>113.0</v>
      </c>
      <c r="C89" s="1">
        <v>1418.0</v>
      </c>
      <c r="D89" s="1">
        <v>93.0</v>
      </c>
      <c r="E89" s="8">
        <v>0.0825132743362831</v>
      </c>
      <c r="F89" s="1">
        <v>98.0</v>
      </c>
      <c r="G89" s="1">
        <v>112.0</v>
      </c>
      <c r="H89" s="3">
        <v>49.6418584070796</v>
      </c>
      <c r="I89" s="3">
        <v>29.3219148479705</v>
      </c>
    </row>
    <row r="90">
      <c r="A90" s="1" t="s">
        <v>103</v>
      </c>
      <c r="B90" s="1">
        <v>125.0</v>
      </c>
      <c r="C90" s="1">
        <v>1078.0</v>
      </c>
      <c r="D90" s="1">
        <v>51.0</v>
      </c>
      <c r="E90" s="8">
        <v>0.083152</v>
      </c>
      <c r="F90" s="1">
        <v>55.0</v>
      </c>
      <c r="G90" s="1">
        <v>65.0</v>
      </c>
      <c r="H90" s="3">
        <v>23.868272</v>
      </c>
      <c r="I90" s="3">
        <v>17.4098466315477</v>
      </c>
    </row>
    <row r="91">
      <c r="A91" s="1" t="s">
        <v>98</v>
      </c>
      <c r="B91" s="1">
        <v>132.0</v>
      </c>
      <c r="C91" s="1">
        <v>947.0</v>
      </c>
      <c r="D91" s="1">
        <v>116.0</v>
      </c>
      <c r="E91" s="8">
        <v>0.0838333333333333</v>
      </c>
      <c r="F91" s="1">
        <v>122.0</v>
      </c>
      <c r="G91" s="1">
        <v>137.0</v>
      </c>
      <c r="H91" s="3">
        <v>61.6221666666666</v>
      </c>
      <c r="I91" s="3">
        <v>36.6792375772036</v>
      </c>
    </row>
    <row r="92">
      <c r="A92" s="1" t="s">
        <v>177</v>
      </c>
      <c r="B92" s="1">
        <v>107.0</v>
      </c>
      <c r="C92" s="1">
        <v>1579.0</v>
      </c>
      <c r="D92" s="1">
        <v>117.0</v>
      </c>
      <c r="E92" s="8">
        <v>0.08403738317757</v>
      </c>
      <c r="F92" s="1">
        <v>123.0</v>
      </c>
      <c r="G92" s="1">
        <v>137.0</v>
      </c>
      <c r="H92" s="3">
        <v>67.1264112149532</v>
      </c>
      <c r="I92" s="3">
        <v>36.7966846538264</v>
      </c>
    </row>
    <row r="93">
      <c r="A93" s="1" t="s">
        <v>114</v>
      </c>
      <c r="B93" s="1">
        <v>128.0</v>
      </c>
      <c r="C93" s="1">
        <v>1741.0</v>
      </c>
      <c r="D93" s="1">
        <v>102.0</v>
      </c>
      <c r="E93" s="8">
        <v>0.08415625</v>
      </c>
      <c r="F93" s="1">
        <v>108.0</v>
      </c>
      <c r="G93" s="1">
        <v>122.0</v>
      </c>
      <c r="H93" s="3">
        <v>54.96671875</v>
      </c>
      <c r="I93" s="3">
        <v>32.3112101074595</v>
      </c>
    </row>
    <row r="94">
      <c r="A94" s="1" t="s">
        <v>78</v>
      </c>
      <c r="B94" s="1">
        <v>103.0</v>
      </c>
      <c r="C94" s="1">
        <v>1419.0</v>
      </c>
      <c r="D94" s="1">
        <v>77.0</v>
      </c>
      <c r="E94" s="8">
        <v>0.0845825242718446</v>
      </c>
      <c r="F94" s="1">
        <v>81.0</v>
      </c>
      <c r="G94" s="1">
        <v>93.0</v>
      </c>
      <c r="H94" s="3">
        <v>42.3386796116504</v>
      </c>
      <c r="I94" s="3">
        <v>24.6525056329925</v>
      </c>
    </row>
    <row r="95">
      <c r="A95" s="1" t="s">
        <v>99</v>
      </c>
      <c r="B95" s="1">
        <v>113.0</v>
      </c>
      <c r="C95" s="1">
        <v>945.0</v>
      </c>
      <c r="D95" s="1">
        <v>51.0</v>
      </c>
      <c r="E95" s="8">
        <v>0.0851150442477876</v>
      </c>
      <c r="F95" s="1">
        <v>54.0</v>
      </c>
      <c r="G95" s="1">
        <v>63.0</v>
      </c>
      <c r="H95" s="3">
        <v>26.9290265486725</v>
      </c>
      <c r="I95" s="3">
        <v>16.5367883777005</v>
      </c>
    </row>
    <row r="96">
      <c r="A96" s="1" t="s">
        <v>163</v>
      </c>
      <c r="B96" s="1">
        <v>134.0</v>
      </c>
      <c r="C96" s="1">
        <v>978.0</v>
      </c>
      <c r="D96" s="1">
        <v>53.0</v>
      </c>
      <c r="E96" s="8">
        <v>0.0856417910447761</v>
      </c>
      <c r="F96" s="1">
        <v>57.0</v>
      </c>
      <c r="G96" s="1">
        <v>69.0</v>
      </c>
      <c r="H96" s="3">
        <v>23.2495671641791</v>
      </c>
      <c r="I96" s="3">
        <v>18.339048131782</v>
      </c>
    </row>
    <row r="97">
      <c r="A97" s="1" t="s">
        <v>115</v>
      </c>
      <c r="B97" s="1">
        <v>65.0</v>
      </c>
      <c r="C97" s="1">
        <v>669.0</v>
      </c>
      <c r="D97" s="1">
        <v>51.0</v>
      </c>
      <c r="E97" s="8">
        <v>0.0864615384615384</v>
      </c>
      <c r="F97" s="1">
        <v>54.0</v>
      </c>
      <c r="G97" s="1">
        <v>63.0</v>
      </c>
      <c r="H97" s="3">
        <v>28.2567692307692</v>
      </c>
      <c r="I97" s="3">
        <v>15.7889973966968</v>
      </c>
    </row>
    <row r="98">
      <c r="A98" s="1" t="s">
        <v>136</v>
      </c>
      <c r="B98" s="1">
        <v>110.0</v>
      </c>
      <c r="C98" s="1">
        <v>1448.0</v>
      </c>
      <c r="D98" s="1">
        <v>153.0</v>
      </c>
      <c r="E98" s="8">
        <v>0.0872545454545454</v>
      </c>
      <c r="F98" s="1">
        <v>161.0</v>
      </c>
      <c r="G98" s="1">
        <v>178.0</v>
      </c>
      <c r="H98" s="3">
        <v>83.4271818181818</v>
      </c>
      <c r="I98" s="3">
        <v>49.5245104355008</v>
      </c>
    </row>
    <row r="99">
      <c r="A99" s="1" t="s">
        <v>113</v>
      </c>
      <c r="B99" s="1">
        <v>98.0</v>
      </c>
      <c r="C99" s="1">
        <v>1404.0</v>
      </c>
      <c r="D99" s="1">
        <v>87.0</v>
      </c>
      <c r="E99" s="8">
        <v>0.0923673469387755</v>
      </c>
      <c r="F99" s="1">
        <v>93.0</v>
      </c>
      <c r="G99" s="1">
        <v>105.0</v>
      </c>
      <c r="H99" s="3">
        <v>47.3878367346938</v>
      </c>
      <c r="I99" s="3">
        <v>28.0189460502935</v>
      </c>
    </row>
    <row r="100">
      <c r="A100" s="1" t="s">
        <v>155</v>
      </c>
      <c r="B100" s="1">
        <v>136.0</v>
      </c>
      <c r="C100" s="1">
        <v>1113.0</v>
      </c>
      <c r="D100" s="1">
        <v>100.0</v>
      </c>
      <c r="E100" s="8">
        <v>0.0952941176470588</v>
      </c>
      <c r="F100" s="1">
        <v>108.0</v>
      </c>
      <c r="G100" s="1">
        <v>122.0</v>
      </c>
      <c r="H100" s="3">
        <v>51.6025</v>
      </c>
      <c r="I100" s="3">
        <v>33.5512662106549</v>
      </c>
    </row>
    <row r="101">
      <c r="A101" s="1" t="s">
        <v>171</v>
      </c>
      <c r="B101" s="1">
        <v>95.0</v>
      </c>
      <c r="C101" s="1">
        <v>835.0</v>
      </c>
      <c r="D101" s="1">
        <v>46.0</v>
      </c>
      <c r="E101" s="8">
        <v>0.0957894736842105</v>
      </c>
      <c r="F101" s="1">
        <v>50.0</v>
      </c>
      <c r="G101" s="1">
        <v>58.0</v>
      </c>
      <c r="H101" s="3">
        <v>25.3514736842105</v>
      </c>
      <c r="I101" s="3">
        <v>14.8098879819795</v>
      </c>
    </row>
    <row r="102">
      <c r="A102" s="1" t="s">
        <v>120</v>
      </c>
      <c r="B102" s="1">
        <v>77.0</v>
      </c>
      <c r="C102" s="1">
        <v>977.0</v>
      </c>
      <c r="D102" s="1">
        <v>43.0</v>
      </c>
      <c r="E102" s="8">
        <v>0.0977662337662337</v>
      </c>
      <c r="F102" s="1">
        <v>47.0</v>
      </c>
      <c r="G102" s="1">
        <v>55.0</v>
      </c>
      <c r="H102" s="3">
        <v>22.7043376623376</v>
      </c>
      <c r="I102" s="3">
        <v>14.2857039388628</v>
      </c>
    </row>
    <row r="103">
      <c r="A103" s="1" t="s">
        <v>80</v>
      </c>
      <c r="B103" s="1">
        <v>131.0</v>
      </c>
      <c r="C103" s="1">
        <v>1129.0</v>
      </c>
      <c r="D103" s="1">
        <v>57.0</v>
      </c>
      <c r="E103" s="8">
        <v>0.0991297709923664</v>
      </c>
      <c r="F103" s="1">
        <v>62.0</v>
      </c>
      <c r="G103" s="1">
        <v>73.0</v>
      </c>
      <c r="H103" s="3">
        <v>28.7159694656488</v>
      </c>
      <c r="I103" s="3">
        <v>19.9316089811941</v>
      </c>
    </row>
    <row r="104">
      <c r="A104" s="1" t="s">
        <v>73</v>
      </c>
      <c r="B104" s="1">
        <v>94.0</v>
      </c>
      <c r="C104" s="1">
        <v>1574.0</v>
      </c>
      <c r="D104" s="1">
        <v>131.0</v>
      </c>
      <c r="E104" s="8">
        <v>0.103425531914893</v>
      </c>
      <c r="F104" s="1">
        <v>141.0</v>
      </c>
      <c r="G104" s="1">
        <v>157.0</v>
      </c>
      <c r="H104" s="3">
        <v>70.6448723404255</v>
      </c>
      <c r="I104" s="3">
        <v>44.0055449997882</v>
      </c>
    </row>
    <row r="105">
      <c r="A105" s="1" t="s">
        <v>146</v>
      </c>
      <c r="B105" s="1">
        <v>65.0</v>
      </c>
      <c r="C105" s="1">
        <v>1301.0</v>
      </c>
      <c r="D105" s="1">
        <v>106.0</v>
      </c>
      <c r="E105" s="8">
        <v>0.104646153846153</v>
      </c>
      <c r="F105" s="1">
        <v>115.0</v>
      </c>
      <c r="G105" s="1">
        <v>130.0</v>
      </c>
      <c r="H105" s="3">
        <v>58.6465846153846</v>
      </c>
      <c r="I105" s="3">
        <v>34.4049650580092</v>
      </c>
    </row>
    <row r="106">
      <c r="A106" s="1" t="s">
        <v>127</v>
      </c>
      <c r="B106" s="1">
        <v>101.0</v>
      </c>
      <c r="C106" s="1">
        <v>1133.0</v>
      </c>
      <c r="D106" s="1">
        <v>97.0</v>
      </c>
      <c r="E106" s="8">
        <v>0.108930693069306</v>
      </c>
      <c r="F106" s="1">
        <v>105.0</v>
      </c>
      <c r="G106" s="1">
        <v>117.0</v>
      </c>
      <c r="H106" s="3">
        <v>55.9296831683168</v>
      </c>
      <c r="I106" s="3">
        <v>32.0670767607342</v>
      </c>
    </row>
    <row r="107">
      <c r="A107" s="1" t="s">
        <v>125</v>
      </c>
      <c r="B107" s="1">
        <v>96.0</v>
      </c>
      <c r="C107" s="1">
        <v>996.0</v>
      </c>
      <c r="D107" s="1">
        <v>69.0</v>
      </c>
      <c r="E107" s="8">
        <v>0.109354166666666</v>
      </c>
      <c r="F107" s="1">
        <v>76.0</v>
      </c>
      <c r="G107" s="1">
        <v>88.0</v>
      </c>
      <c r="H107" s="3">
        <v>38.7436041666666</v>
      </c>
      <c r="I107" s="3">
        <v>22.9571001800455</v>
      </c>
    </row>
    <row r="108">
      <c r="A108" s="1" t="s">
        <v>164</v>
      </c>
      <c r="B108" s="1">
        <v>106.0</v>
      </c>
      <c r="C108" s="1">
        <v>1328.0</v>
      </c>
      <c r="D108" s="1">
        <v>115.0</v>
      </c>
      <c r="E108" s="8">
        <v>0.112981132075471</v>
      </c>
      <c r="F108" s="1">
        <v>127.0</v>
      </c>
      <c r="G108" s="1">
        <v>143.0</v>
      </c>
      <c r="H108" s="3">
        <v>62.0367924528301</v>
      </c>
      <c r="I108" s="3">
        <v>39.573124159578</v>
      </c>
    </row>
    <row r="109">
      <c r="A109" s="1" t="s">
        <v>184</v>
      </c>
      <c r="B109" s="1">
        <v>64.0</v>
      </c>
      <c r="C109" s="1">
        <v>854.0</v>
      </c>
      <c r="D109" s="1">
        <v>55.0</v>
      </c>
      <c r="E109" s="8">
        <v>0.1163125</v>
      </c>
      <c r="F109" s="1">
        <v>62.0</v>
      </c>
      <c r="G109" s="1">
        <v>72.0</v>
      </c>
      <c r="H109" s="3">
        <v>30.71875</v>
      </c>
      <c r="I109" s="3">
        <v>18.2468222832771</v>
      </c>
    </row>
    <row r="110">
      <c r="A110" s="1" t="s">
        <v>142</v>
      </c>
      <c r="B110" s="1">
        <v>92.0</v>
      </c>
      <c r="C110" s="1">
        <v>1467.0</v>
      </c>
      <c r="D110" s="1">
        <v>134.0</v>
      </c>
      <c r="E110" s="8">
        <v>0.11645652173913</v>
      </c>
      <c r="F110" s="1">
        <v>147.0</v>
      </c>
      <c r="G110" s="1">
        <v>161.0</v>
      </c>
      <c r="H110" s="3">
        <v>73.7764347826086</v>
      </c>
      <c r="I110" s="3">
        <v>44.6662183542756</v>
      </c>
    </row>
    <row r="111">
      <c r="A111" s="1" t="s">
        <v>105</v>
      </c>
      <c r="B111" s="1">
        <v>97.0</v>
      </c>
      <c r="C111" s="1">
        <v>1183.0</v>
      </c>
      <c r="D111" s="1">
        <v>68.0</v>
      </c>
      <c r="E111" s="8">
        <v>0.118432989690721</v>
      </c>
      <c r="F111" s="1">
        <v>77.0</v>
      </c>
      <c r="G111" s="1">
        <v>90.0</v>
      </c>
      <c r="H111" s="3">
        <v>33.5159175257732</v>
      </c>
      <c r="I111" s="3">
        <v>24.4424519631844</v>
      </c>
    </row>
    <row r="112">
      <c r="A112" s="1" t="s">
        <v>121</v>
      </c>
      <c r="B112" s="1">
        <v>117.0</v>
      </c>
      <c r="C112" s="1">
        <v>817.0</v>
      </c>
      <c r="D112" s="1">
        <v>49.0</v>
      </c>
      <c r="E112" s="8">
        <v>0.119555555555555</v>
      </c>
      <c r="F112" s="1">
        <v>57.0</v>
      </c>
      <c r="G112" s="1">
        <v>68.0</v>
      </c>
      <c r="H112" s="3">
        <v>22.1499829059829</v>
      </c>
      <c r="I112" s="3">
        <v>18.6307144850091</v>
      </c>
    </row>
    <row r="113">
      <c r="A113" s="1" t="s">
        <v>156</v>
      </c>
      <c r="B113" s="1">
        <v>88.0</v>
      </c>
      <c r="C113" s="1">
        <v>808.0</v>
      </c>
      <c r="D113" s="1">
        <v>54.0</v>
      </c>
      <c r="E113" s="8">
        <v>0.120363636363636</v>
      </c>
      <c r="F113" s="1">
        <v>61.0</v>
      </c>
      <c r="G113" s="1">
        <v>71.0</v>
      </c>
      <c r="H113" s="3">
        <v>28.8327727272727</v>
      </c>
      <c r="I113" s="3">
        <v>18.8817008224457</v>
      </c>
    </row>
    <row r="114">
      <c r="A114" s="1" t="s">
        <v>122</v>
      </c>
      <c r="B114" s="1">
        <v>101.0</v>
      </c>
      <c r="C114" s="1">
        <v>1295.0</v>
      </c>
      <c r="D114" s="1">
        <v>102.0</v>
      </c>
      <c r="E114" s="8">
        <v>0.121188118811881</v>
      </c>
      <c r="F114" s="1">
        <v>114.0</v>
      </c>
      <c r="G114" s="1">
        <v>128.0</v>
      </c>
      <c r="H114" s="3">
        <v>56.6157425742574</v>
      </c>
      <c r="I114" s="3">
        <v>34.2822057831679</v>
      </c>
    </row>
    <row r="115">
      <c r="A115" s="1" t="s">
        <v>131</v>
      </c>
      <c r="B115" s="1">
        <v>75.0</v>
      </c>
      <c r="C115" s="1">
        <v>1173.0</v>
      </c>
      <c r="D115" s="1">
        <v>87.0</v>
      </c>
      <c r="E115" s="8">
        <v>0.121333333333333</v>
      </c>
      <c r="F115" s="1">
        <v>98.0</v>
      </c>
      <c r="G115" s="1">
        <v>112.0</v>
      </c>
      <c r="H115" s="3">
        <v>46.47208</v>
      </c>
      <c r="I115" s="3">
        <v>30.8902261857522</v>
      </c>
    </row>
    <row r="116">
      <c r="A116" s="1" t="s">
        <v>170</v>
      </c>
      <c r="B116" s="1">
        <v>98.0</v>
      </c>
      <c r="C116" s="1">
        <v>1167.0</v>
      </c>
      <c r="D116" s="1">
        <v>82.0</v>
      </c>
      <c r="E116" s="8">
        <v>0.122857142857142</v>
      </c>
      <c r="F116" s="1">
        <v>92.0</v>
      </c>
      <c r="G116" s="1">
        <v>105.0</v>
      </c>
      <c r="H116" s="3">
        <v>46.7643265306122</v>
      </c>
      <c r="I116" s="3">
        <v>27.6350954192699</v>
      </c>
    </row>
    <row r="117">
      <c r="A117" s="1" t="s">
        <v>134</v>
      </c>
      <c r="B117" s="1">
        <v>113.0</v>
      </c>
      <c r="C117" s="1">
        <v>1205.0</v>
      </c>
      <c r="D117" s="1">
        <v>70.0</v>
      </c>
      <c r="E117" s="8">
        <v>0.123274336283185</v>
      </c>
      <c r="F117" s="1">
        <v>79.0</v>
      </c>
      <c r="G117" s="1">
        <v>90.0</v>
      </c>
      <c r="H117" s="3">
        <v>39.4543362831858</v>
      </c>
      <c r="I117" s="3">
        <v>24.3861360538959</v>
      </c>
    </row>
    <row r="118">
      <c r="A118" s="1" t="s">
        <v>168</v>
      </c>
      <c r="B118" s="1">
        <v>71.0</v>
      </c>
      <c r="C118" s="1">
        <v>1154.0</v>
      </c>
      <c r="D118" s="1">
        <v>133.0</v>
      </c>
      <c r="E118" s="8">
        <v>0.12369014084507</v>
      </c>
      <c r="F118" s="1">
        <v>147.0</v>
      </c>
      <c r="G118" s="1">
        <v>163.0</v>
      </c>
      <c r="H118" s="3">
        <v>76.3716619718309</v>
      </c>
      <c r="I118" s="3">
        <v>44.5975702906492</v>
      </c>
    </row>
    <row r="119">
      <c r="A119" s="1" t="s">
        <v>174</v>
      </c>
      <c r="B119" s="1">
        <v>91.0</v>
      </c>
      <c r="C119" s="1">
        <v>1222.0</v>
      </c>
      <c r="D119" s="1">
        <v>66.0</v>
      </c>
      <c r="E119" s="8">
        <v>0.124</v>
      </c>
      <c r="F119" s="1">
        <v>75.0</v>
      </c>
      <c r="G119" s="1">
        <v>87.0</v>
      </c>
      <c r="H119" s="3">
        <v>34.9432967032967</v>
      </c>
      <c r="I119" s="3">
        <v>23.1543201795669</v>
      </c>
    </row>
    <row r="120">
      <c r="A120" s="1" t="s">
        <v>175</v>
      </c>
      <c r="B120" s="1">
        <v>91.0</v>
      </c>
      <c r="C120" s="1">
        <v>1398.0</v>
      </c>
      <c r="D120" s="1">
        <v>104.0</v>
      </c>
      <c r="E120" s="8">
        <v>0.12432967032967</v>
      </c>
      <c r="F120" s="1">
        <v>117.0</v>
      </c>
      <c r="G120" s="1">
        <v>132.010000000002</v>
      </c>
      <c r="H120" s="3">
        <v>59.3697582417582</v>
      </c>
      <c r="I120" s="3">
        <v>34.710312996186</v>
      </c>
    </row>
    <row r="121">
      <c r="A121" s="1" t="s">
        <v>123</v>
      </c>
      <c r="B121" s="1">
        <v>117.0</v>
      </c>
      <c r="C121" s="1">
        <v>1156.0</v>
      </c>
      <c r="D121" s="1">
        <v>80.0</v>
      </c>
      <c r="E121" s="8">
        <v>0.124888888888888</v>
      </c>
      <c r="F121" s="1">
        <v>89.0</v>
      </c>
      <c r="G121" s="1">
        <v>101.0</v>
      </c>
      <c r="H121" s="3">
        <v>47.4585299145299</v>
      </c>
      <c r="I121" s="3">
        <v>27.4304006263599</v>
      </c>
    </row>
    <row r="122">
      <c r="A122" s="1" t="s">
        <v>173</v>
      </c>
      <c r="B122" s="1">
        <v>107.0</v>
      </c>
      <c r="C122" s="1">
        <v>1485.0</v>
      </c>
      <c r="D122" s="1">
        <v>139.0</v>
      </c>
      <c r="E122" s="8">
        <v>0.125140186915887</v>
      </c>
      <c r="F122" s="1">
        <v>154.0</v>
      </c>
      <c r="G122" s="1">
        <v>173.0</v>
      </c>
      <c r="H122" s="3">
        <v>82.2365233644859</v>
      </c>
      <c r="I122" s="3">
        <v>44.7138593232183</v>
      </c>
    </row>
    <row r="123">
      <c r="A123" s="1" t="s">
        <v>158</v>
      </c>
      <c r="B123" s="1">
        <v>140.0</v>
      </c>
      <c r="C123" s="1">
        <v>1266.0</v>
      </c>
      <c r="D123" s="1">
        <v>77.0</v>
      </c>
      <c r="E123" s="8">
        <v>0.125671428571428</v>
      </c>
      <c r="F123" s="1">
        <v>86.0</v>
      </c>
      <c r="G123" s="1">
        <v>99.0</v>
      </c>
      <c r="H123" s="3">
        <v>44.7402714285714</v>
      </c>
      <c r="I123" s="3">
        <v>26.402796084301</v>
      </c>
    </row>
    <row r="124">
      <c r="A124" s="1" t="s">
        <v>152</v>
      </c>
      <c r="B124" s="1">
        <v>91.0</v>
      </c>
      <c r="C124" s="1">
        <v>949.0</v>
      </c>
      <c r="D124" s="1">
        <v>52.0</v>
      </c>
      <c r="E124" s="8">
        <v>0.126175824175824</v>
      </c>
      <c r="F124" s="1">
        <v>59.0</v>
      </c>
      <c r="G124" s="1">
        <v>68.0</v>
      </c>
      <c r="H124" s="3">
        <v>28.907912087912</v>
      </c>
      <c r="I124" s="3">
        <v>17.7254905241559</v>
      </c>
    </row>
    <row r="125">
      <c r="A125" s="1" t="s">
        <v>179</v>
      </c>
      <c r="B125" s="1">
        <v>119.0</v>
      </c>
      <c r="C125" s="1">
        <v>1445.0</v>
      </c>
      <c r="D125" s="1">
        <v>79.0</v>
      </c>
      <c r="E125" s="8">
        <v>0.127210084033613</v>
      </c>
      <c r="F125" s="1">
        <v>90.0</v>
      </c>
      <c r="G125" s="1">
        <v>104.0</v>
      </c>
      <c r="H125" s="3">
        <v>43.2275294117647</v>
      </c>
      <c r="I125" s="3">
        <v>27.4881755195209</v>
      </c>
    </row>
    <row r="126">
      <c r="A126" s="1" t="s">
        <v>151</v>
      </c>
      <c r="B126" s="1">
        <v>78.0</v>
      </c>
      <c r="C126" s="1">
        <v>927.0</v>
      </c>
      <c r="D126" s="1">
        <v>54.0</v>
      </c>
      <c r="E126" s="8">
        <v>0.134820512820512</v>
      </c>
      <c r="F126" s="1">
        <v>62.0</v>
      </c>
      <c r="G126" s="1">
        <v>72.0</v>
      </c>
      <c r="H126" s="3">
        <v>31.4624871794871</v>
      </c>
      <c r="I126" s="3">
        <v>18.5577374275347</v>
      </c>
    </row>
    <row r="127">
      <c r="A127" s="1" t="s">
        <v>139</v>
      </c>
      <c r="B127" s="1">
        <v>98.0</v>
      </c>
      <c r="C127" s="1">
        <v>1270.0</v>
      </c>
      <c r="D127" s="1">
        <v>117.0</v>
      </c>
      <c r="E127" s="8">
        <v>0.134877551020408</v>
      </c>
      <c r="F127" s="1">
        <v>130.0</v>
      </c>
      <c r="G127" s="1">
        <v>144.0</v>
      </c>
      <c r="H127" s="3">
        <v>69.6156122448979</v>
      </c>
      <c r="I127" s="3">
        <v>39.570248836626</v>
      </c>
    </row>
    <row r="128">
      <c r="A128" s="1" t="s">
        <v>135</v>
      </c>
      <c r="B128" s="1">
        <v>112.0</v>
      </c>
      <c r="C128" s="1">
        <v>1304.0</v>
      </c>
      <c r="D128" s="1">
        <v>85.0</v>
      </c>
      <c r="E128" s="8">
        <v>0.136946428571428</v>
      </c>
      <c r="F128" s="1">
        <v>97.0</v>
      </c>
      <c r="G128" s="1">
        <v>109.0</v>
      </c>
      <c r="H128" s="3">
        <v>50.7328928571428</v>
      </c>
      <c r="I128" s="3">
        <v>29.0524896312559</v>
      </c>
    </row>
    <row r="129">
      <c r="A129" s="1" t="s">
        <v>145</v>
      </c>
      <c r="B129" s="1">
        <v>94.0</v>
      </c>
      <c r="C129" s="1">
        <v>1393.0</v>
      </c>
      <c r="D129" s="1">
        <v>88.0</v>
      </c>
      <c r="E129" s="8">
        <v>0.137255319148936</v>
      </c>
      <c r="F129" s="1">
        <v>101.0</v>
      </c>
      <c r="G129" s="1">
        <v>116.0</v>
      </c>
      <c r="H129" s="3">
        <v>50.4784468085106</v>
      </c>
      <c r="I129" s="3">
        <v>30.3209379825358</v>
      </c>
    </row>
    <row r="130">
      <c r="A130" s="1" t="s">
        <v>165</v>
      </c>
      <c r="B130" s="1">
        <v>122.0</v>
      </c>
      <c r="C130" s="1">
        <v>1782.0</v>
      </c>
      <c r="D130" s="1">
        <v>141.0</v>
      </c>
      <c r="E130" s="8">
        <v>0.137508196721311</v>
      </c>
      <c r="F130" s="1">
        <v>160.0</v>
      </c>
      <c r="G130" s="1">
        <v>179.0</v>
      </c>
      <c r="H130" s="3">
        <v>80.3270655737705</v>
      </c>
      <c r="I130" s="3">
        <v>49.0228537729585</v>
      </c>
    </row>
    <row r="131">
      <c r="A131" s="1" t="s">
        <v>89</v>
      </c>
      <c r="B131" s="1">
        <v>105.0</v>
      </c>
      <c r="C131" s="1">
        <v>1223.0</v>
      </c>
      <c r="D131" s="1">
        <v>67.0</v>
      </c>
      <c r="E131" s="8">
        <v>0.138190476190476</v>
      </c>
      <c r="F131" s="1">
        <v>76.0</v>
      </c>
      <c r="G131" s="1">
        <v>87.0</v>
      </c>
      <c r="H131" s="3">
        <v>40.5622857142857</v>
      </c>
      <c r="I131" s="3">
        <v>22.6818842442762</v>
      </c>
    </row>
    <row r="132">
      <c r="A132" s="1" t="s">
        <v>119</v>
      </c>
      <c r="B132" s="1">
        <v>130.0</v>
      </c>
      <c r="C132" s="1">
        <v>1835.0</v>
      </c>
      <c r="D132" s="1">
        <v>134.0</v>
      </c>
      <c r="E132" s="8">
        <v>0.144784615384615</v>
      </c>
      <c r="F132" s="1">
        <v>153.0</v>
      </c>
      <c r="G132" s="1">
        <v>171.0</v>
      </c>
      <c r="H132" s="3">
        <v>81.5144615384615</v>
      </c>
      <c r="I132" s="3">
        <v>45.2979568916326</v>
      </c>
    </row>
    <row r="133">
      <c r="A133" s="1" t="s">
        <v>176</v>
      </c>
      <c r="B133" s="1">
        <v>115.0</v>
      </c>
      <c r="C133" s="1">
        <v>1393.0</v>
      </c>
      <c r="D133" s="1">
        <v>97.0</v>
      </c>
      <c r="E133" s="8">
        <v>0.1496</v>
      </c>
      <c r="F133" s="1">
        <v>110.0</v>
      </c>
      <c r="G133" s="1">
        <v>124.0</v>
      </c>
      <c r="H133" s="3">
        <v>58.8520869565217</v>
      </c>
      <c r="I133" s="3">
        <v>33.3873626182292</v>
      </c>
    </row>
    <row r="134">
      <c r="A134" s="1" t="s">
        <v>132</v>
      </c>
      <c r="B134" s="1">
        <v>84.0</v>
      </c>
      <c r="C134" s="1">
        <v>1015.0</v>
      </c>
      <c r="D134" s="1">
        <v>78.0</v>
      </c>
      <c r="E134" s="8">
        <v>0.149690476190476</v>
      </c>
      <c r="F134" s="1">
        <v>89.0</v>
      </c>
      <c r="G134" s="1">
        <v>101.0</v>
      </c>
      <c r="H134" s="3">
        <v>46.7506428571428</v>
      </c>
      <c r="I134" s="3">
        <v>27.1575585736636</v>
      </c>
    </row>
    <row r="135">
      <c r="A135" s="1" t="s">
        <v>169</v>
      </c>
      <c r="B135" s="1">
        <v>114.0</v>
      </c>
      <c r="C135" s="1">
        <v>818.0</v>
      </c>
      <c r="D135" s="1">
        <v>44.0</v>
      </c>
      <c r="E135" s="8">
        <v>0.153438596491228</v>
      </c>
      <c r="F135" s="1">
        <v>54.0</v>
      </c>
      <c r="G135" s="1">
        <v>63.0</v>
      </c>
      <c r="H135" s="3">
        <v>24.0310701754385</v>
      </c>
      <c r="I135" s="3">
        <v>16.521872783018</v>
      </c>
    </row>
    <row r="136">
      <c r="A136" s="1" t="s">
        <v>129</v>
      </c>
      <c r="B136" s="1">
        <v>107.0</v>
      </c>
      <c r="C136" s="1">
        <v>816.0</v>
      </c>
      <c r="D136" s="1">
        <v>57.0</v>
      </c>
      <c r="E136" s="8">
        <v>0.155588785046728</v>
      </c>
      <c r="F136" s="1">
        <v>66.0</v>
      </c>
      <c r="G136" s="1">
        <v>75.0</v>
      </c>
      <c r="H136" s="3">
        <v>34.9171962616822</v>
      </c>
      <c r="I136" s="3">
        <v>19.9068002185883</v>
      </c>
    </row>
    <row r="137">
      <c r="A137" s="1" t="s">
        <v>181</v>
      </c>
      <c r="B137" s="1">
        <v>105.0</v>
      </c>
      <c r="C137" s="1">
        <v>1737.0</v>
      </c>
      <c r="D137" s="1">
        <v>164.0</v>
      </c>
      <c r="E137" s="8">
        <v>0.15775238095238</v>
      </c>
      <c r="F137" s="1">
        <v>188.0</v>
      </c>
      <c r="G137" s="1">
        <v>207.0</v>
      </c>
      <c r="H137" s="3">
        <v>100.098838095238</v>
      </c>
      <c r="I137" s="3">
        <v>56.3517652791689</v>
      </c>
    </row>
    <row r="138">
      <c r="A138" s="1" t="s">
        <v>178</v>
      </c>
      <c r="B138" s="1">
        <v>94.0</v>
      </c>
      <c r="C138" s="1">
        <v>1583.0</v>
      </c>
      <c r="D138" s="1">
        <v>85.0</v>
      </c>
      <c r="E138" s="8">
        <v>0.160893617021276</v>
      </c>
      <c r="F138" s="1">
        <v>101.0</v>
      </c>
      <c r="G138" s="1">
        <v>115.0</v>
      </c>
      <c r="H138" s="3">
        <v>49.5349361702127</v>
      </c>
      <c r="I138" s="3">
        <v>30.9871767008474</v>
      </c>
    </row>
    <row r="139">
      <c r="A139" s="1" t="s">
        <v>187</v>
      </c>
      <c r="B139" s="1">
        <v>99.0</v>
      </c>
      <c r="C139" s="1">
        <v>905.0</v>
      </c>
      <c r="D139" s="1">
        <v>53.0</v>
      </c>
      <c r="E139" s="8">
        <v>0.163252525252525</v>
      </c>
      <c r="F139" s="1">
        <v>63.0</v>
      </c>
      <c r="G139" s="1">
        <v>73.0</v>
      </c>
      <c r="H139" s="3">
        <v>31.700909090909</v>
      </c>
      <c r="I139" s="3">
        <v>19.0102869329887</v>
      </c>
    </row>
    <row r="140">
      <c r="A140" s="1" t="s">
        <v>111</v>
      </c>
      <c r="B140" s="1">
        <v>95.0</v>
      </c>
      <c r="C140" s="1">
        <v>1129.0</v>
      </c>
      <c r="D140" s="1">
        <v>69.0</v>
      </c>
      <c r="E140" s="8">
        <v>0.166842105263157</v>
      </c>
      <c r="F140" s="1">
        <v>84.0</v>
      </c>
      <c r="G140" s="1">
        <v>96.0</v>
      </c>
      <c r="H140" s="3">
        <v>39.236</v>
      </c>
      <c r="I140" s="3">
        <v>25.5901084673047</v>
      </c>
    </row>
    <row r="141">
      <c r="A141" s="1" t="s">
        <v>162</v>
      </c>
      <c r="B141" s="1">
        <v>62.0</v>
      </c>
      <c r="C141" s="1">
        <v>1127.0</v>
      </c>
      <c r="D141" s="1">
        <v>68.0</v>
      </c>
      <c r="E141" s="8">
        <v>0.169354838709677</v>
      </c>
      <c r="F141" s="1">
        <v>82.0</v>
      </c>
      <c r="G141" s="1">
        <v>94.0</v>
      </c>
      <c r="H141" s="3">
        <v>41.3125483870967</v>
      </c>
      <c r="I141" s="3">
        <v>24.7089449120559</v>
      </c>
    </row>
    <row r="142">
      <c r="A142" s="1" t="s">
        <v>167</v>
      </c>
      <c r="B142" s="1">
        <v>107.0</v>
      </c>
      <c r="C142" s="1">
        <v>1301.0</v>
      </c>
      <c r="D142" s="1">
        <v>85.0</v>
      </c>
      <c r="E142" s="8">
        <v>0.171383177570093</v>
      </c>
      <c r="F142" s="1">
        <v>101.0</v>
      </c>
      <c r="G142" s="1">
        <v>114.0</v>
      </c>
      <c r="H142" s="3">
        <v>51.9340560747663</v>
      </c>
      <c r="I142" s="3">
        <v>30.2353946666991</v>
      </c>
    </row>
    <row r="143">
      <c r="A143" s="1" t="s">
        <v>148</v>
      </c>
      <c r="B143" s="1">
        <v>110.0</v>
      </c>
      <c r="C143" s="1">
        <v>1291.0</v>
      </c>
      <c r="D143" s="1">
        <v>76.0</v>
      </c>
      <c r="E143" s="8">
        <v>0.179927272727272</v>
      </c>
      <c r="F143" s="1">
        <v>94.0</v>
      </c>
      <c r="G143" s="1">
        <v>108.0</v>
      </c>
      <c r="H143" s="3">
        <v>45.8302727272727</v>
      </c>
      <c r="I143" s="3">
        <v>28.5784090771366</v>
      </c>
    </row>
    <row r="144">
      <c r="A144" s="1" t="s">
        <v>186</v>
      </c>
      <c r="B144" s="1">
        <v>123.0</v>
      </c>
      <c r="C144" s="1">
        <v>1025.0</v>
      </c>
      <c r="D144" s="1">
        <v>49.0</v>
      </c>
      <c r="E144" s="8">
        <v>0.188113821138211</v>
      </c>
      <c r="F144" s="1">
        <v>61.0</v>
      </c>
      <c r="G144" s="1">
        <v>70.0</v>
      </c>
      <c r="H144" s="3">
        <v>30.9566829268292</v>
      </c>
      <c r="I144" s="3">
        <v>18.177267409059</v>
      </c>
    </row>
    <row r="145">
      <c r="A145" s="1" t="s">
        <v>92</v>
      </c>
      <c r="B145" s="1">
        <v>85.0</v>
      </c>
      <c r="C145" s="1">
        <v>764.0</v>
      </c>
      <c r="D145" s="1">
        <v>34.0</v>
      </c>
      <c r="E145" s="8">
        <v>0.188776470588235</v>
      </c>
      <c r="F145" s="1">
        <v>44.0</v>
      </c>
      <c r="G145" s="1">
        <v>52.0</v>
      </c>
      <c r="H145" s="3">
        <v>21.2508470588235</v>
      </c>
      <c r="I145" s="3">
        <v>12.8910280879704</v>
      </c>
    </row>
    <row r="146">
      <c r="A146" s="1" t="s">
        <v>166</v>
      </c>
      <c r="B146" s="1">
        <v>129.0</v>
      </c>
      <c r="C146" s="1">
        <v>1420.0</v>
      </c>
      <c r="D146" s="1">
        <v>133.0</v>
      </c>
      <c r="E146" s="8">
        <v>0.194666666666666</v>
      </c>
      <c r="F146" s="1">
        <v>165.0</v>
      </c>
      <c r="G146" s="1">
        <v>184.0</v>
      </c>
      <c r="H146" s="3">
        <v>79.3313023255813</v>
      </c>
      <c r="I146" s="3">
        <v>51.1116442384077</v>
      </c>
    </row>
    <row r="147">
      <c r="A147" s="1" t="s">
        <v>161</v>
      </c>
      <c r="B147" s="1">
        <v>105.0</v>
      </c>
      <c r="C147" s="1">
        <v>921.0</v>
      </c>
      <c r="D147" s="1">
        <v>49.0</v>
      </c>
      <c r="E147" s="8">
        <v>0.210895238095238</v>
      </c>
      <c r="F147" s="1">
        <v>61.0</v>
      </c>
      <c r="G147" s="1">
        <v>71.0</v>
      </c>
      <c r="H147" s="3">
        <v>31.4066285714285</v>
      </c>
      <c r="I147" s="3">
        <v>18.6396889884421</v>
      </c>
    </row>
    <row r="148">
      <c r="A148" s="1" t="s">
        <v>185</v>
      </c>
      <c r="B148" s="1">
        <v>102.0</v>
      </c>
      <c r="C148" s="1">
        <v>1501.0</v>
      </c>
      <c r="D148" s="1">
        <v>115.0</v>
      </c>
      <c r="E148" s="8">
        <v>0.238294117647058</v>
      </c>
      <c r="F148" s="1">
        <v>147.0</v>
      </c>
      <c r="G148" s="1">
        <v>165.0</v>
      </c>
      <c r="H148" s="3">
        <v>75.6402549019607</v>
      </c>
      <c r="I148" s="3">
        <v>44.9784551380068</v>
      </c>
    </row>
    <row r="149">
      <c r="A149" s="1" t="s">
        <v>190</v>
      </c>
      <c r="B149" s="1">
        <v>37.0</v>
      </c>
      <c r="C149" s="1">
        <v>540.0</v>
      </c>
      <c r="D149" s="1">
        <v>30.0</v>
      </c>
      <c r="E149" s="8">
        <v>0.251459459459459</v>
      </c>
      <c r="F149" s="1">
        <v>42.0</v>
      </c>
      <c r="G149" s="1">
        <v>48.0</v>
      </c>
      <c r="H149" s="3">
        <v>19.6108108108108</v>
      </c>
      <c r="I149" s="3">
        <v>12.9572891681026</v>
      </c>
    </row>
    <row r="150">
      <c r="A150" s="1" t="s">
        <v>189</v>
      </c>
      <c r="B150" s="1">
        <v>68.0</v>
      </c>
      <c r="C150" s="1">
        <v>877.0</v>
      </c>
      <c r="D150" s="1">
        <v>40.0</v>
      </c>
      <c r="E150" s="8">
        <v>0.273205882352941</v>
      </c>
      <c r="F150" s="1">
        <v>54.0</v>
      </c>
      <c r="G150" s="1">
        <v>63.0</v>
      </c>
      <c r="H150" s="3">
        <v>28.4701176470588</v>
      </c>
      <c r="I150" s="3">
        <v>16.0766561122288</v>
      </c>
    </row>
    <row r="151">
      <c r="A151" s="1" t="s">
        <v>153</v>
      </c>
      <c r="B151" s="1">
        <v>113.0</v>
      </c>
      <c r="C151" s="1">
        <v>888.0</v>
      </c>
      <c r="D151" s="1">
        <v>32.0</v>
      </c>
      <c r="E151" s="8">
        <v>0.280637168141592</v>
      </c>
      <c r="F151" s="1">
        <v>43.0</v>
      </c>
      <c r="G151" s="1">
        <v>50.0</v>
      </c>
      <c r="H151" s="3">
        <v>23.2637876106194</v>
      </c>
      <c r="I151" s="3">
        <v>12.647735471485</v>
      </c>
    </row>
    <row r="152">
      <c r="A152" s="1" t="s">
        <v>182</v>
      </c>
      <c r="B152" s="1">
        <v>64.0</v>
      </c>
      <c r="C152" s="1">
        <v>757.0</v>
      </c>
      <c r="D152" s="1">
        <v>39.0</v>
      </c>
      <c r="E152" s="8">
        <v>0.2924375</v>
      </c>
      <c r="F152" s="1">
        <v>55.0</v>
      </c>
      <c r="G152" s="1">
        <v>64.0</v>
      </c>
      <c r="H152" s="3">
        <v>29.27184375</v>
      </c>
      <c r="I152" s="3">
        <v>15.3281300139836</v>
      </c>
    </row>
    <row r="153">
      <c r="A153" s="1" t="s">
        <v>183</v>
      </c>
      <c r="B153" s="1">
        <v>58.0</v>
      </c>
      <c r="C153" s="1">
        <v>715.0</v>
      </c>
      <c r="D153" s="1">
        <v>35.0</v>
      </c>
      <c r="E153" s="8">
        <v>0.341413793103448</v>
      </c>
      <c r="F153" s="1">
        <v>51.0</v>
      </c>
      <c r="G153" s="1">
        <v>60.0</v>
      </c>
      <c r="H153" s="3">
        <v>26.8948620689655</v>
      </c>
      <c r="I153" s="3">
        <v>15.1803462257189</v>
      </c>
    </row>
    <row r="154">
      <c r="A154" s="1" t="s">
        <v>188</v>
      </c>
      <c r="B154" s="1">
        <v>73.0</v>
      </c>
      <c r="C154" s="1">
        <v>543.0</v>
      </c>
      <c r="D154" s="1">
        <v>28.0</v>
      </c>
      <c r="E154" s="8">
        <v>0.364356164383561</v>
      </c>
      <c r="F154" s="1">
        <v>43.0</v>
      </c>
      <c r="G154" s="1">
        <v>50.0</v>
      </c>
      <c r="H154" s="3">
        <v>22.0016438356164</v>
      </c>
      <c r="I154" s="3">
        <v>12.9505718934067</v>
      </c>
    </row>
    <row r="155">
      <c r="E155" s="13"/>
      <c r="H155" s="16"/>
      <c r="I155" s="16"/>
    </row>
    <row r="156">
      <c r="E156" s="13"/>
      <c r="H156" s="16"/>
      <c r="I156" s="16"/>
    </row>
    <row r="157">
      <c r="E157" s="13"/>
      <c r="H157" s="16"/>
      <c r="I157" s="16"/>
    </row>
    <row r="158">
      <c r="E158" s="13"/>
      <c r="H158" s="16"/>
      <c r="I158" s="16"/>
    </row>
    <row r="159">
      <c r="E159" s="13"/>
      <c r="H159" s="16"/>
      <c r="I159" s="16"/>
    </row>
    <row r="160">
      <c r="E160" s="13"/>
      <c r="H160" s="16"/>
      <c r="I160" s="16"/>
    </row>
    <row r="161">
      <c r="E161" s="13"/>
      <c r="H161" s="16"/>
      <c r="I161" s="16"/>
    </row>
    <row r="162">
      <c r="E162" s="13"/>
      <c r="H162" s="16"/>
      <c r="I162" s="16"/>
    </row>
    <row r="163">
      <c r="E163" s="13"/>
      <c r="H163" s="16"/>
      <c r="I163" s="16"/>
    </row>
    <row r="164">
      <c r="E164" s="13"/>
      <c r="H164" s="16"/>
      <c r="I164" s="16"/>
    </row>
    <row r="165">
      <c r="E165" s="13"/>
      <c r="H165" s="16"/>
      <c r="I165" s="16"/>
    </row>
    <row r="166">
      <c r="E166" s="13"/>
      <c r="H166" s="16"/>
      <c r="I166" s="16"/>
    </row>
    <row r="167">
      <c r="E167" s="13"/>
      <c r="H167" s="16"/>
      <c r="I167" s="16"/>
    </row>
    <row r="168">
      <c r="E168" s="13"/>
      <c r="H168" s="16"/>
      <c r="I168" s="16"/>
    </row>
    <row r="169">
      <c r="E169" s="13"/>
      <c r="H169" s="16"/>
      <c r="I169" s="16"/>
    </row>
    <row r="170">
      <c r="E170" s="13"/>
      <c r="H170" s="16"/>
      <c r="I170" s="16"/>
    </row>
    <row r="171">
      <c r="E171" s="13"/>
      <c r="H171" s="16"/>
      <c r="I171" s="16"/>
    </row>
    <row r="172">
      <c r="E172" s="13"/>
      <c r="H172" s="16"/>
      <c r="I172" s="16"/>
    </row>
    <row r="173">
      <c r="E173" s="13"/>
      <c r="H173" s="16"/>
      <c r="I173" s="16"/>
    </row>
    <row r="174">
      <c r="E174" s="13"/>
      <c r="H174" s="16"/>
      <c r="I174" s="16"/>
    </row>
    <row r="175">
      <c r="E175" s="13"/>
      <c r="H175" s="16"/>
      <c r="I175" s="16"/>
    </row>
    <row r="176">
      <c r="E176" s="13"/>
      <c r="H176" s="16"/>
      <c r="I176" s="16"/>
    </row>
    <row r="177">
      <c r="E177" s="13"/>
      <c r="H177" s="16"/>
      <c r="I177" s="16"/>
    </row>
    <row r="178">
      <c r="E178" s="13"/>
      <c r="H178" s="16"/>
      <c r="I178" s="16"/>
    </row>
    <row r="179">
      <c r="E179" s="13"/>
      <c r="H179" s="16"/>
      <c r="I179" s="16"/>
    </row>
    <row r="180">
      <c r="E180" s="13"/>
      <c r="H180" s="16"/>
      <c r="I180" s="16"/>
    </row>
    <row r="181">
      <c r="E181" s="13"/>
      <c r="H181" s="16"/>
      <c r="I181" s="16"/>
    </row>
    <row r="182">
      <c r="E182" s="13"/>
      <c r="H182" s="16"/>
      <c r="I182" s="16"/>
    </row>
    <row r="183">
      <c r="E183" s="13"/>
      <c r="H183" s="16"/>
      <c r="I183" s="16"/>
    </row>
    <row r="184">
      <c r="E184" s="13"/>
      <c r="H184" s="16"/>
      <c r="I184" s="16"/>
    </row>
    <row r="185">
      <c r="E185" s="13"/>
      <c r="H185" s="16"/>
      <c r="I185" s="16"/>
    </row>
    <row r="186">
      <c r="E186" s="13"/>
      <c r="H186" s="16"/>
      <c r="I186" s="16"/>
    </row>
    <row r="187">
      <c r="E187" s="13"/>
      <c r="H187" s="16"/>
      <c r="I187" s="16"/>
    </row>
    <row r="188">
      <c r="E188" s="13"/>
      <c r="H188" s="16"/>
      <c r="I188" s="16"/>
    </row>
    <row r="189">
      <c r="E189" s="13"/>
      <c r="H189" s="16"/>
      <c r="I189" s="16"/>
    </row>
    <row r="190">
      <c r="E190" s="13"/>
      <c r="H190" s="16"/>
      <c r="I190" s="16"/>
    </row>
    <row r="191">
      <c r="E191" s="13"/>
      <c r="H191" s="16"/>
      <c r="I191" s="16"/>
    </row>
    <row r="192">
      <c r="E192" s="13"/>
      <c r="H192" s="16"/>
      <c r="I192" s="16"/>
    </row>
    <row r="193">
      <c r="E193" s="13"/>
      <c r="H193" s="16"/>
      <c r="I193" s="16"/>
    </row>
    <row r="194">
      <c r="E194" s="13"/>
      <c r="H194" s="16"/>
      <c r="I194" s="16"/>
    </row>
    <row r="195">
      <c r="E195" s="13"/>
      <c r="H195" s="16"/>
      <c r="I195" s="16"/>
    </row>
    <row r="196">
      <c r="E196" s="13"/>
      <c r="H196" s="16"/>
      <c r="I196" s="16"/>
    </row>
    <row r="197">
      <c r="E197" s="13"/>
      <c r="H197" s="16"/>
      <c r="I197" s="16"/>
    </row>
    <row r="198">
      <c r="E198" s="13"/>
      <c r="H198" s="16"/>
      <c r="I198" s="16"/>
    </row>
    <row r="199">
      <c r="E199" s="13"/>
      <c r="H199" s="16"/>
      <c r="I199" s="16"/>
    </row>
    <row r="200">
      <c r="E200" s="13"/>
      <c r="H200" s="16"/>
      <c r="I200" s="16"/>
    </row>
    <row r="201">
      <c r="E201" s="13"/>
      <c r="H201" s="16"/>
      <c r="I201" s="16"/>
    </row>
    <row r="202">
      <c r="E202" s="13"/>
      <c r="H202" s="16"/>
      <c r="I202" s="16"/>
    </row>
    <row r="203">
      <c r="E203" s="13"/>
      <c r="H203" s="16"/>
      <c r="I203" s="16"/>
    </row>
    <row r="204">
      <c r="E204" s="13"/>
      <c r="H204" s="16"/>
      <c r="I204" s="16"/>
    </row>
    <row r="205">
      <c r="E205" s="13"/>
      <c r="H205" s="16"/>
      <c r="I205" s="16"/>
    </row>
    <row r="206">
      <c r="E206" s="13"/>
      <c r="H206" s="16"/>
      <c r="I206" s="16"/>
    </row>
    <row r="207">
      <c r="E207" s="13"/>
      <c r="H207" s="16"/>
      <c r="I207" s="16"/>
    </row>
    <row r="208">
      <c r="E208" s="13"/>
      <c r="H208" s="16"/>
      <c r="I208" s="16"/>
    </row>
    <row r="209">
      <c r="E209" s="13"/>
      <c r="H209" s="16"/>
      <c r="I209" s="16"/>
    </row>
    <row r="210">
      <c r="E210" s="13"/>
      <c r="H210" s="16"/>
      <c r="I210" s="16"/>
    </row>
    <row r="211">
      <c r="E211" s="13"/>
      <c r="H211" s="16"/>
      <c r="I211" s="16"/>
    </row>
    <row r="212">
      <c r="E212" s="13"/>
      <c r="H212" s="16"/>
      <c r="I212" s="16"/>
    </row>
    <row r="213">
      <c r="E213" s="13"/>
      <c r="H213" s="16"/>
      <c r="I213" s="16"/>
    </row>
    <row r="214">
      <c r="E214" s="13"/>
      <c r="H214" s="16"/>
      <c r="I214" s="16"/>
    </row>
    <row r="215">
      <c r="E215" s="13"/>
      <c r="H215" s="16"/>
      <c r="I215" s="16"/>
    </row>
    <row r="216">
      <c r="E216" s="13"/>
      <c r="H216" s="16"/>
      <c r="I216" s="16"/>
    </row>
    <row r="217">
      <c r="E217" s="13"/>
      <c r="H217" s="16"/>
      <c r="I217" s="16"/>
    </row>
    <row r="218">
      <c r="E218" s="13"/>
      <c r="H218" s="16"/>
      <c r="I218" s="16"/>
    </row>
    <row r="219">
      <c r="E219" s="13"/>
      <c r="H219" s="16"/>
      <c r="I219" s="16"/>
    </row>
    <row r="220">
      <c r="E220" s="13"/>
      <c r="H220" s="16"/>
      <c r="I220" s="16"/>
    </row>
    <row r="221">
      <c r="E221" s="13"/>
      <c r="H221" s="16"/>
      <c r="I221" s="16"/>
    </row>
    <row r="222">
      <c r="E222" s="13"/>
      <c r="H222" s="16"/>
      <c r="I222" s="16"/>
    </row>
    <row r="223">
      <c r="E223" s="13"/>
      <c r="H223" s="16"/>
      <c r="I223" s="16"/>
    </row>
    <row r="224">
      <c r="E224" s="13"/>
      <c r="H224" s="16"/>
      <c r="I224" s="16"/>
    </row>
    <row r="225">
      <c r="E225" s="13"/>
      <c r="H225" s="16"/>
      <c r="I225" s="16"/>
    </row>
    <row r="226">
      <c r="E226" s="13"/>
      <c r="H226" s="16"/>
      <c r="I226" s="16"/>
    </row>
    <row r="227">
      <c r="E227" s="13"/>
      <c r="H227" s="16"/>
      <c r="I227" s="16"/>
    </row>
    <row r="228">
      <c r="E228" s="13"/>
      <c r="H228" s="16"/>
      <c r="I228" s="16"/>
    </row>
    <row r="229">
      <c r="E229" s="13"/>
      <c r="H229" s="16"/>
      <c r="I229" s="16"/>
    </row>
    <row r="230">
      <c r="E230" s="13"/>
      <c r="H230" s="16"/>
      <c r="I230" s="16"/>
    </row>
    <row r="231">
      <c r="E231" s="13"/>
      <c r="H231" s="16"/>
      <c r="I231" s="16"/>
    </row>
    <row r="232">
      <c r="E232" s="13"/>
      <c r="H232" s="16"/>
      <c r="I232" s="16"/>
    </row>
    <row r="233">
      <c r="E233" s="13"/>
      <c r="H233" s="16"/>
      <c r="I233" s="16"/>
    </row>
    <row r="234">
      <c r="E234" s="13"/>
      <c r="H234" s="16"/>
      <c r="I234" s="16"/>
    </row>
    <row r="235">
      <c r="E235" s="13"/>
      <c r="H235" s="16"/>
      <c r="I235" s="16"/>
    </row>
    <row r="236">
      <c r="E236" s="13"/>
      <c r="H236" s="16"/>
      <c r="I236" s="16"/>
    </row>
    <row r="237">
      <c r="E237" s="13"/>
      <c r="H237" s="16"/>
      <c r="I237" s="16"/>
    </row>
    <row r="238">
      <c r="E238" s="13"/>
      <c r="H238" s="16"/>
      <c r="I238" s="16"/>
    </row>
    <row r="239">
      <c r="E239" s="13"/>
      <c r="H239" s="16"/>
      <c r="I239" s="16"/>
    </row>
    <row r="240">
      <c r="E240" s="13"/>
      <c r="H240" s="16"/>
      <c r="I240" s="16"/>
    </row>
    <row r="241">
      <c r="E241" s="13"/>
      <c r="H241" s="16"/>
      <c r="I241" s="16"/>
    </row>
    <row r="242">
      <c r="E242" s="13"/>
      <c r="H242" s="16"/>
      <c r="I242" s="16"/>
    </row>
    <row r="243">
      <c r="E243" s="13"/>
      <c r="H243" s="16"/>
      <c r="I243" s="16"/>
    </row>
    <row r="244">
      <c r="E244" s="13"/>
      <c r="H244" s="16"/>
      <c r="I244" s="16"/>
    </row>
    <row r="245">
      <c r="E245" s="13"/>
      <c r="H245" s="16"/>
      <c r="I245" s="16"/>
    </row>
    <row r="246">
      <c r="E246" s="13"/>
      <c r="H246" s="16"/>
      <c r="I246" s="16"/>
    </row>
    <row r="247">
      <c r="E247" s="13"/>
      <c r="H247" s="16"/>
      <c r="I247" s="16"/>
    </row>
    <row r="248">
      <c r="E248" s="13"/>
      <c r="H248" s="16"/>
      <c r="I248" s="16"/>
    </row>
    <row r="249">
      <c r="E249" s="13"/>
      <c r="H249" s="16"/>
      <c r="I249" s="16"/>
    </row>
    <row r="250">
      <c r="E250" s="13"/>
      <c r="H250" s="16"/>
      <c r="I250" s="16"/>
    </row>
    <row r="251">
      <c r="E251" s="13"/>
      <c r="H251" s="16"/>
      <c r="I251" s="16"/>
    </row>
    <row r="252">
      <c r="E252" s="13"/>
      <c r="H252" s="16"/>
      <c r="I252" s="16"/>
    </row>
    <row r="253">
      <c r="E253" s="13"/>
      <c r="H253" s="16"/>
      <c r="I253" s="16"/>
    </row>
    <row r="254">
      <c r="E254" s="13"/>
      <c r="H254" s="16"/>
      <c r="I254" s="16"/>
    </row>
    <row r="255">
      <c r="E255" s="13"/>
      <c r="H255" s="16"/>
      <c r="I255" s="16"/>
    </row>
    <row r="256">
      <c r="E256" s="13"/>
      <c r="H256" s="16"/>
      <c r="I256" s="16"/>
    </row>
    <row r="257">
      <c r="E257" s="13"/>
      <c r="H257" s="16"/>
      <c r="I257" s="16"/>
    </row>
    <row r="258">
      <c r="E258" s="13"/>
      <c r="H258" s="16"/>
      <c r="I258" s="16"/>
    </row>
    <row r="259">
      <c r="E259" s="13"/>
      <c r="H259" s="16"/>
      <c r="I259" s="16"/>
    </row>
    <row r="260">
      <c r="E260" s="13"/>
      <c r="H260" s="16"/>
      <c r="I260" s="16"/>
    </row>
    <row r="261">
      <c r="E261" s="13"/>
      <c r="H261" s="16"/>
      <c r="I261" s="16"/>
    </row>
    <row r="262">
      <c r="E262" s="13"/>
      <c r="H262" s="16"/>
      <c r="I262" s="16"/>
    </row>
    <row r="263">
      <c r="E263" s="13"/>
      <c r="H263" s="16"/>
      <c r="I263" s="16"/>
    </row>
    <row r="264">
      <c r="E264" s="13"/>
      <c r="H264" s="16"/>
      <c r="I264" s="16"/>
    </row>
    <row r="265">
      <c r="E265" s="13"/>
      <c r="H265" s="16"/>
      <c r="I265" s="16"/>
    </row>
    <row r="266">
      <c r="E266" s="13"/>
      <c r="H266" s="16"/>
      <c r="I266" s="16"/>
    </row>
    <row r="267">
      <c r="E267" s="13"/>
      <c r="H267" s="16"/>
      <c r="I267" s="16"/>
    </row>
    <row r="268">
      <c r="E268" s="13"/>
      <c r="H268" s="16"/>
      <c r="I268" s="16"/>
    </row>
    <row r="269">
      <c r="E269" s="13"/>
      <c r="H269" s="16"/>
      <c r="I269" s="16"/>
    </row>
    <row r="270">
      <c r="E270" s="13"/>
      <c r="H270" s="16"/>
      <c r="I270" s="16"/>
    </row>
    <row r="271">
      <c r="E271" s="13"/>
      <c r="H271" s="16"/>
      <c r="I271" s="16"/>
    </row>
    <row r="272">
      <c r="E272" s="13"/>
      <c r="H272" s="16"/>
      <c r="I272" s="16"/>
    </row>
    <row r="273">
      <c r="E273" s="13"/>
      <c r="H273" s="16"/>
      <c r="I273" s="16"/>
    </row>
    <row r="274">
      <c r="E274" s="13"/>
      <c r="H274" s="16"/>
      <c r="I274" s="16"/>
    </row>
    <row r="275">
      <c r="E275" s="13"/>
      <c r="H275" s="16"/>
      <c r="I275" s="16"/>
    </row>
    <row r="276">
      <c r="E276" s="13"/>
      <c r="H276" s="16"/>
      <c r="I276" s="16"/>
    </row>
    <row r="277">
      <c r="E277" s="13"/>
      <c r="H277" s="16"/>
      <c r="I277" s="16"/>
    </row>
    <row r="278">
      <c r="E278" s="13"/>
      <c r="H278" s="16"/>
      <c r="I278" s="16"/>
    </row>
    <row r="279">
      <c r="E279" s="13"/>
      <c r="H279" s="16"/>
      <c r="I279" s="16"/>
    </row>
    <row r="280">
      <c r="E280" s="13"/>
      <c r="H280" s="16"/>
      <c r="I280" s="16"/>
    </row>
    <row r="281">
      <c r="E281" s="13"/>
      <c r="H281" s="16"/>
      <c r="I281" s="16"/>
    </row>
    <row r="282">
      <c r="E282" s="13"/>
      <c r="H282" s="16"/>
      <c r="I282" s="16"/>
    </row>
    <row r="283">
      <c r="E283" s="13"/>
      <c r="H283" s="16"/>
      <c r="I283" s="16"/>
    </row>
    <row r="284">
      <c r="E284" s="13"/>
      <c r="H284" s="16"/>
      <c r="I284" s="16"/>
    </row>
    <row r="285">
      <c r="E285" s="13"/>
      <c r="H285" s="16"/>
      <c r="I285" s="16"/>
    </row>
    <row r="286">
      <c r="E286" s="13"/>
      <c r="H286" s="16"/>
      <c r="I286" s="16"/>
    </row>
    <row r="287">
      <c r="E287" s="13"/>
      <c r="H287" s="16"/>
      <c r="I287" s="16"/>
    </row>
    <row r="288">
      <c r="E288" s="13"/>
      <c r="H288" s="16"/>
      <c r="I288" s="16"/>
    </row>
    <row r="289">
      <c r="E289" s="13"/>
      <c r="H289" s="16"/>
      <c r="I289" s="16"/>
    </row>
    <row r="290">
      <c r="E290" s="13"/>
      <c r="H290" s="16"/>
      <c r="I290" s="16"/>
    </row>
    <row r="291">
      <c r="E291" s="13"/>
      <c r="H291" s="16"/>
      <c r="I291" s="16"/>
    </row>
    <row r="292">
      <c r="E292" s="13"/>
      <c r="H292" s="16"/>
      <c r="I292" s="16"/>
    </row>
    <row r="293">
      <c r="E293" s="13"/>
      <c r="H293" s="16"/>
      <c r="I293" s="16"/>
    </row>
    <row r="294">
      <c r="E294" s="13"/>
      <c r="H294" s="16"/>
      <c r="I294" s="16"/>
    </row>
    <row r="295">
      <c r="E295" s="13"/>
      <c r="H295" s="16"/>
      <c r="I295" s="16"/>
    </row>
    <row r="296">
      <c r="E296" s="13"/>
      <c r="H296" s="16"/>
      <c r="I296" s="16"/>
    </row>
    <row r="297">
      <c r="E297" s="13"/>
      <c r="H297" s="16"/>
      <c r="I297" s="16"/>
    </row>
    <row r="298">
      <c r="E298" s="13"/>
      <c r="H298" s="16"/>
      <c r="I298" s="16"/>
    </row>
    <row r="299">
      <c r="E299" s="13"/>
      <c r="H299" s="16"/>
      <c r="I299" s="16"/>
    </row>
    <row r="300">
      <c r="E300" s="13"/>
      <c r="H300" s="16"/>
      <c r="I300" s="16"/>
    </row>
    <row r="301">
      <c r="E301" s="13"/>
      <c r="H301" s="16"/>
      <c r="I301" s="16"/>
    </row>
    <row r="302">
      <c r="E302" s="13"/>
      <c r="H302" s="16"/>
      <c r="I302" s="16"/>
    </row>
    <row r="303">
      <c r="E303" s="13"/>
      <c r="H303" s="16"/>
      <c r="I303" s="16"/>
    </row>
    <row r="304">
      <c r="E304" s="13"/>
      <c r="H304" s="16"/>
      <c r="I304" s="16"/>
    </row>
    <row r="305">
      <c r="E305" s="13"/>
      <c r="H305" s="16"/>
      <c r="I305" s="16"/>
    </row>
    <row r="306">
      <c r="E306" s="13"/>
      <c r="H306" s="16"/>
      <c r="I306" s="16"/>
    </row>
    <row r="307">
      <c r="E307" s="13"/>
      <c r="H307" s="16"/>
      <c r="I307" s="16"/>
    </row>
    <row r="308">
      <c r="E308" s="13"/>
      <c r="H308" s="16"/>
      <c r="I308" s="16"/>
    </row>
    <row r="309">
      <c r="E309" s="13"/>
      <c r="H309" s="16"/>
      <c r="I309" s="16"/>
    </row>
    <row r="310">
      <c r="E310" s="13"/>
      <c r="H310" s="16"/>
      <c r="I310" s="16"/>
    </row>
    <row r="311">
      <c r="E311" s="13"/>
      <c r="H311" s="16"/>
      <c r="I311" s="16"/>
    </row>
    <row r="312">
      <c r="E312" s="13"/>
      <c r="H312" s="16"/>
      <c r="I312" s="16"/>
    </row>
    <row r="313">
      <c r="E313" s="13"/>
      <c r="H313" s="16"/>
      <c r="I313" s="16"/>
    </row>
    <row r="314">
      <c r="E314" s="13"/>
      <c r="H314" s="16"/>
      <c r="I314" s="16"/>
    </row>
    <row r="315">
      <c r="E315" s="13"/>
      <c r="H315" s="16"/>
      <c r="I315" s="16"/>
    </row>
    <row r="316">
      <c r="E316" s="13"/>
      <c r="H316" s="16"/>
      <c r="I316" s="16"/>
    </row>
    <row r="317">
      <c r="E317" s="13"/>
      <c r="H317" s="16"/>
      <c r="I317" s="16"/>
    </row>
    <row r="318">
      <c r="E318" s="13"/>
      <c r="H318" s="16"/>
      <c r="I318" s="16"/>
    </row>
    <row r="319">
      <c r="E319" s="13"/>
      <c r="H319" s="16"/>
      <c r="I319" s="16"/>
    </row>
    <row r="320">
      <c r="E320" s="13"/>
      <c r="H320" s="16"/>
      <c r="I320" s="16"/>
    </row>
    <row r="321">
      <c r="E321" s="13"/>
      <c r="H321" s="16"/>
      <c r="I321" s="16"/>
    </row>
    <row r="322">
      <c r="E322" s="13"/>
      <c r="H322" s="16"/>
      <c r="I322" s="16"/>
    </row>
    <row r="323">
      <c r="E323" s="13"/>
      <c r="H323" s="16"/>
      <c r="I323" s="16"/>
    </row>
    <row r="324">
      <c r="E324" s="13"/>
      <c r="H324" s="16"/>
      <c r="I324" s="16"/>
    </row>
    <row r="325">
      <c r="E325" s="13"/>
      <c r="H325" s="16"/>
      <c r="I325" s="16"/>
    </row>
    <row r="326">
      <c r="E326" s="13"/>
      <c r="H326" s="16"/>
      <c r="I326" s="16"/>
    </row>
    <row r="327">
      <c r="E327" s="13"/>
      <c r="H327" s="16"/>
      <c r="I327" s="16"/>
    </row>
    <row r="328">
      <c r="E328" s="13"/>
      <c r="H328" s="16"/>
      <c r="I328" s="16"/>
    </row>
    <row r="329">
      <c r="E329" s="13"/>
      <c r="H329" s="16"/>
      <c r="I329" s="16"/>
    </row>
    <row r="330">
      <c r="E330" s="13"/>
      <c r="H330" s="16"/>
      <c r="I330" s="16"/>
    </row>
    <row r="331">
      <c r="E331" s="13"/>
      <c r="H331" s="16"/>
      <c r="I331" s="16"/>
    </row>
    <row r="332">
      <c r="E332" s="13"/>
      <c r="H332" s="16"/>
      <c r="I332" s="16"/>
    </row>
    <row r="333">
      <c r="E333" s="13"/>
      <c r="H333" s="16"/>
      <c r="I333" s="16"/>
    </row>
    <row r="334">
      <c r="E334" s="13"/>
      <c r="H334" s="16"/>
      <c r="I334" s="16"/>
    </row>
    <row r="335">
      <c r="E335" s="13"/>
      <c r="H335" s="16"/>
      <c r="I335" s="16"/>
    </row>
    <row r="336">
      <c r="E336" s="13"/>
      <c r="H336" s="16"/>
      <c r="I336" s="16"/>
    </row>
    <row r="337">
      <c r="E337" s="13"/>
      <c r="H337" s="16"/>
      <c r="I337" s="16"/>
    </row>
    <row r="338">
      <c r="E338" s="13"/>
      <c r="H338" s="16"/>
      <c r="I338" s="16"/>
    </row>
    <row r="339">
      <c r="E339" s="13"/>
      <c r="H339" s="16"/>
      <c r="I339" s="16"/>
    </row>
    <row r="340">
      <c r="E340" s="13"/>
      <c r="H340" s="16"/>
      <c r="I340" s="16"/>
    </row>
    <row r="341">
      <c r="E341" s="13"/>
      <c r="H341" s="16"/>
      <c r="I341" s="16"/>
    </row>
    <row r="342">
      <c r="E342" s="13"/>
      <c r="H342" s="16"/>
      <c r="I342" s="16"/>
    </row>
    <row r="343">
      <c r="E343" s="13"/>
      <c r="H343" s="16"/>
      <c r="I343" s="16"/>
    </row>
    <row r="344">
      <c r="E344" s="13"/>
      <c r="H344" s="16"/>
      <c r="I344" s="16"/>
    </row>
    <row r="345">
      <c r="E345" s="13"/>
      <c r="H345" s="16"/>
      <c r="I345" s="16"/>
    </row>
    <row r="346">
      <c r="E346" s="13"/>
      <c r="H346" s="16"/>
      <c r="I346" s="16"/>
    </row>
    <row r="347">
      <c r="E347" s="13"/>
      <c r="H347" s="16"/>
      <c r="I347" s="16"/>
    </row>
    <row r="348">
      <c r="E348" s="13"/>
      <c r="H348" s="16"/>
      <c r="I348" s="16"/>
    </row>
    <row r="349">
      <c r="E349" s="13"/>
      <c r="H349" s="16"/>
      <c r="I349" s="16"/>
    </row>
    <row r="350">
      <c r="E350" s="13"/>
      <c r="H350" s="16"/>
      <c r="I350" s="16"/>
    </row>
    <row r="351">
      <c r="E351" s="13"/>
      <c r="H351" s="16"/>
      <c r="I351" s="16"/>
    </row>
    <row r="352">
      <c r="E352" s="13"/>
      <c r="H352" s="16"/>
      <c r="I352" s="16"/>
    </row>
    <row r="353">
      <c r="E353" s="13"/>
      <c r="H353" s="16"/>
      <c r="I353" s="16"/>
    </row>
    <row r="354">
      <c r="E354" s="13"/>
      <c r="H354" s="16"/>
      <c r="I354" s="16"/>
    </row>
    <row r="355">
      <c r="E355" s="13"/>
      <c r="H355" s="16"/>
      <c r="I355" s="16"/>
    </row>
    <row r="356">
      <c r="E356" s="13"/>
      <c r="H356" s="16"/>
      <c r="I356" s="16"/>
    </row>
    <row r="357">
      <c r="E357" s="13"/>
      <c r="H357" s="16"/>
      <c r="I357" s="16"/>
    </row>
    <row r="358">
      <c r="E358" s="13"/>
      <c r="H358" s="16"/>
      <c r="I358" s="16"/>
    </row>
    <row r="359">
      <c r="E359" s="13"/>
      <c r="H359" s="16"/>
      <c r="I359" s="16"/>
    </row>
    <row r="360">
      <c r="E360" s="13"/>
      <c r="H360" s="16"/>
      <c r="I360" s="16"/>
    </row>
    <row r="361">
      <c r="E361" s="13"/>
      <c r="H361" s="16"/>
      <c r="I361" s="16"/>
    </row>
    <row r="362">
      <c r="E362" s="13"/>
      <c r="H362" s="16"/>
      <c r="I362" s="16"/>
    </row>
    <row r="363">
      <c r="E363" s="13"/>
      <c r="H363" s="16"/>
      <c r="I363" s="16"/>
    </row>
    <row r="364">
      <c r="E364" s="13"/>
      <c r="H364" s="16"/>
      <c r="I364" s="16"/>
    </row>
    <row r="365">
      <c r="E365" s="13"/>
      <c r="H365" s="16"/>
      <c r="I365" s="16"/>
    </row>
    <row r="366">
      <c r="E366" s="13"/>
      <c r="H366" s="16"/>
      <c r="I366" s="16"/>
    </row>
    <row r="367">
      <c r="E367" s="13"/>
      <c r="H367" s="16"/>
      <c r="I367" s="16"/>
    </row>
    <row r="368">
      <c r="E368" s="13"/>
      <c r="H368" s="16"/>
      <c r="I368" s="16"/>
    </row>
    <row r="369">
      <c r="E369" s="13"/>
      <c r="H369" s="16"/>
      <c r="I369" s="16"/>
    </row>
    <row r="370">
      <c r="E370" s="13"/>
      <c r="H370" s="16"/>
      <c r="I370" s="16"/>
    </row>
    <row r="371">
      <c r="E371" s="13"/>
      <c r="H371" s="16"/>
      <c r="I371" s="16"/>
    </row>
    <row r="372">
      <c r="E372" s="13"/>
      <c r="H372" s="16"/>
      <c r="I372" s="16"/>
    </row>
    <row r="373">
      <c r="E373" s="13"/>
      <c r="H373" s="16"/>
      <c r="I373" s="16"/>
    </row>
    <row r="374">
      <c r="E374" s="13"/>
      <c r="H374" s="16"/>
      <c r="I374" s="16"/>
    </row>
    <row r="375">
      <c r="E375" s="13"/>
      <c r="H375" s="16"/>
      <c r="I375" s="16"/>
    </row>
    <row r="376">
      <c r="E376" s="13"/>
      <c r="H376" s="16"/>
      <c r="I376" s="16"/>
    </row>
    <row r="377">
      <c r="E377" s="13"/>
      <c r="H377" s="16"/>
      <c r="I377" s="16"/>
    </row>
    <row r="378">
      <c r="E378" s="13"/>
      <c r="H378" s="16"/>
      <c r="I378" s="16"/>
    </row>
    <row r="379">
      <c r="E379" s="13"/>
      <c r="H379" s="16"/>
      <c r="I379" s="16"/>
    </row>
    <row r="380">
      <c r="E380" s="13"/>
      <c r="H380" s="16"/>
      <c r="I380" s="16"/>
    </row>
    <row r="381">
      <c r="E381" s="13"/>
      <c r="H381" s="16"/>
      <c r="I381" s="16"/>
    </row>
    <row r="382">
      <c r="E382" s="13"/>
      <c r="H382" s="16"/>
      <c r="I382" s="16"/>
    </row>
    <row r="383">
      <c r="E383" s="13"/>
      <c r="H383" s="16"/>
      <c r="I383" s="16"/>
    </row>
    <row r="384">
      <c r="E384" s="13"/>
      <c r="H384" s="16"/>
      <c r="I384" s="16"/>
    </row>
    <row r="385">
      <c r="E385" s="13"/>
      <c r="H385" s="16"/>
      <c r="I385" s="16"/>
    </row>
    <row r="386">
      <c r="E386" s="13"/>
      <c r="H386" s="16"/>
      <c r="I386" s="16"/>
    </row>
    <row r="387">
      <c r="E387" s="13"/>
      <c r="H387" s="16"/>
      <c r="I387" s="16"/>
    </row>
    <row r="388">
      <c r="E388" s="13"/>
      <c r="H388" s="16"/>
      <c r="I388" s="16"/>
    </row>
    <row r="389">
      <c r="E389" s="13"/>
      <c r="H389" s="16"/>
      <c r="I389" s="16"/>
    </row>
    <row r="390">
      <c r="E390" s="13"/>
      <c r="H390" s="16"/>
      <c r="I390" s="16"/>
    </row>
    <row r="391">
      <c r="E391" s="13"/>
      <c r="H391" s="16"/>
      <c r="I391" s="16"/>
    </row>
    <row r="392">
      <c r="E392" s="13"/>
      <c r="H392" s="16"/>
      <c r="I392" s="16"/>
    </row>
    <row r="393">
      <c r="E393" s="13"/>
      <c r="H393" s="16"/>
      <c r="I393" s="16"/>
    </row>
    <row r="394">
      <c r="E394" s="13"/>
      <c r="H394" s="16"/>
      <c r="I394" s="16"/>
    </row>
    <row r="395">
      <c r="E395" s="13"/>
      <c r="H395" s="16"/>
      <c r="I395" s="16"/>
    </row>
    <row r="396">
      <c r="E396" s="13"/>
      <c r="H396" s="16"/>
      <c r="I396" s="16"/>
    </row>
    <row r="397">
      <c r="E397" s="13"/>
      <c r="H397" s="16"/>
      <c r="I397" s="16"/>
    </row>
    <row r="398">
      <c r="E398" s="13"/>
      <c r="H398" s="16"/>
      <c r="I398" s="16"/>
    </row>
    <row r="399">
      <c r="E399" s="13"/>
      <c r="H399" s="16"/>
      <c r="I399" s="16"/>
    </row>
    <row r="400">
      <c r="E400" s="13"/>
      <c r="H400" s="16"/>
      <c r="I400" s="16"/>
    </row>
    <row r="401">
      <c r="E401" s="13"/>
      <c r="H401" s="16"/>
      <c r="I401" s="16"/>
    </row>
    <row r="402">
      <c r="E402" s="13"/>
      <c r="H402" s="16"/>
      <c r="I402" s="16"/>
    </row>
    <row r="403">
      <c r="E403" s="13"/>
      <c r="H403" s="16"/>
      <c r="I403" s="16"/>
    </row>
    <row r="404">
      <c r="E404" s="13"/>
      <c r="H404" s="16"/>
      <c r="I404" s="16"/>
    </row>
    <row r="405">
      <c r="E405" s="13"/>
      <c r="H405" s="16"/>
      <c r="I405" s="16"/>
    </row>
    <row r="406">
      <c r="E406" s="13"/>
      <c r="H406" s="16"/>
      <c r="I406" s="16"/>
    </row>
    <row r="407">
      <c r="E407" s="13"/>
      <c r="H407" s="16"/>
      <c r="I407" s="16"/>
    </row>
    <row r="408">
      <c r="E408" s="13"/>
      <c r="H408" s="16"/>
      <c r="I408" s="16"/>
    </row>
    <row r="409">
      <c r="E409" s="13"/>
      <c r="H409" s="16"/>
      <c r="I409" s="16"/>
    </row>
    <row r="410">
      <c r="E410" s="13"/>
      <c r="H410" s="16"/>
      <c r="I410" s="16"/>
    </row>
    <row r="411">
      <c r="E411" s="13"/>
      <c r="H411" s="16"/>
      <c r="I411" s="16"/>
    </row>
    <row r="412">
      <c r="E412" s="13"/>
      <c r="H412" s="16"/>
      <c r="I412" s="16"/>
    </row>
    <row r="413">
      <c r="E413" s="13"/>
      <c r="H413" s="16"/>
      <c r="I413" s="16"/>
    </row>
    <row r="414">
      <c r="E414" s="13"/>
      <c r="H414" s="16"/>
      <c r="I414" s="16"/>
    </row>
    <row r="415">
      <c r="E415" s="13"/>
      <c r="H415" s="16"/>
      <c r="I415" s="16"/>
    </row>
    <row r="416">
      <c r="E416" s="13"/>
      <c r="H416" s="16"/>
      <c r="I416" s="16"/>
    </row>
    <row r="417">
      <c r="E417" s="13"/>
      <c r="H417" s="16"/>
      <c r="I417" s="16"/>
    </row>
    <row r="418">
      <c r="E418" s="13"/>
      <c r="H418" s="16"/>
      <c r="I418" s="16"/>
    </row>
    <row r="419">
      <c r="E419" s="13"/>
      <c r="H419" s="16"/>
      <c r="I419" s="16"/>
    </row>
    <row r="420">
      <c r="E420" s="13"/>
      <c r="H420" s="16"/>
      <c r="I420" s="16"/>
    </row>
    <row r="421">
      <c r="E421" s="13"/>
      <c r="H421" s="16"/>
      <c r="I421" s="16"/>
    </row>
    <row r="422">
      <c r="E422" s="13"/>
      <c r="H422" s="16"/>
      <c r="I422" s="16"/>
    </row>
    <row r="423">
      <c r="E423" s="13"/>
      <c r="H423" s="16"/>
      <c r="I423" s="16"/>
    </row>
    <row r="424">
      <c r="E424" s="13"/>
      <c r="H424" s="16"/>
      <c r="I424" s="16"/>
    </row>
    <row r="425">
      <c r="E425" s="13"/>
      <c r="H425" s="16"/>
      <c r="I425" s="16"/>
    </row>
    <row r="426">
      <c r="E426" s="13"/>
      <c r="H426" s="16"/>
      <c r="I426" s="16"/>
    </row>
    <row r="427">
      <c r="E427" s="13"/>
      <c r="H427" s="16"/>
      <c r="I427" s="16"/>
    </row>
    <row r="428">
      <c r="E428" s="13"/>
      <c r="H428" s="16"/>
      <c r="I428" s="16"/>
    </row>
    <row r="429">
      <c r="E429" s="13"/>
      <c r="H429" s="16"/>
      <c r="I429" s="16"/>
    </row>
    <row r="430">
      <c r="E430" s="13"/>
      <c r="H430" s="16"/>
      <c r="I430" s="16"/>
    </row>
    <row r="431">
      <c r="E431" s="13"/>
      <c r="H431" s="16"/>
      <c r="I431" s="16"/>
    </row>
    <row r="432">
      <c r="E432" s="13"/>
      <c r="H432" s="16"/>
      <c r="I432" s="16"/>
    </row>
    <row r="433">
      <c r="E433" s="13"/>
      <c r="H433" s="16"/>
      <c r="I433" s="16"/>
    </row>
    <row r="434">
      <c r="E434" s="13"/>
      <c r="H434" s="16"/>
      <c r="I434" s="16"/>
    </row>
    <row r="435">
      <c r="E435" s="13"/>
      <c r="H435" s="16"/>
      <c r="I435" s="16"/>
    </row>
    <row r="436">
      <c r="E436" s="13"/>
      <c r="H436" s="16"/>
      <c r="I436" s="16"/>
    </row>
    <row r="437">
      <c r="E437" s="13"/>
      <c r="H437" s="16"/>
      <c r="I437" s="16"/>
    </row>
    <row r="438">
      <c r="E438" s="13"/>
      <c r="H438" s="16"/>
      <c r="I438" s="16"/>
    </row>
    <row r="439">
      <c r="E439" s="13"/>
      <c r="H439" s="16"/>
      <c r="I439" s="16"/>
    </row>
    <row r="440">
      <c r="E440" s="13"/>
      <c r="H440" s="16"/>
      <c r="I440" s="16"/>
    </row>
    <row r="441">
      <c r="E441" s="13"/>
      <c r="H441" s="16"/>
      <c r="I441" s="16"/>
    </row>
    <row r="442">
      <c r="E442" s="13"/>
      <c r="H442" s="16"/>
      <c r="I442" s="16"/>
    </row>
    <row r="443">
      <c r="E443" s="13"/>
      <c r="H443" s="16"/>
      <c r="I443" s="16"/>
    </row>
    <row r="444">
      <c r="E444" s="13"/>
      <c r="H444" s="16"/>
      <c r="I444" s="16"/>
    </row>
    <row r="445">
      <c r="E445" s="13"/>
      <c r="H445" s="16"/>
      <c r="I445" s="16"/>
    </row>
    <row r="446">
      <c r="E446" s="13"/>
      <c r="H446" s="16"/>
      <c r="I446" s="16"/>
    </row>
    <row r="447">
      <c r="E447" s="13"/>
      <c r="H447" s="16"/>
      <c r="I447" s="16"/>
    </row>
    <row r="448">
      <c r="E448" s="13"/>
      <c r="H448" s="16"/>
      <c r="I448" s="16"/>
    </row>
    <row r="449">
      <c r="E449" s="13"/>
      <c r="H449" s="16"/>
      <c r="I449" s="16"/>
    </row>
    <row r="450">
      <c r="E450" s="13"/>
      <c r="H450" s="16"/>
      <c r="I450" s="16"/>
    </row>
    <row r="451">
      <c r="E451" s="13"/>
      <c r="H451" s="16"/>
      <c r="I451" s="16"/>
    </row>
    <row r="452">
      <c r="E452" s="13"/>
      <c r="H452" s="16"/>
      <c r="I452" s="16"/>
    </row>
    <row r="453">
      <c r="E453" s="13"/>
      <c r="H453" s="16"/>
      <c r="I453" s="16"/>
    </row>
    <row r="454">
      <c r="E454" s="13"/>
      <c r="H454" s="16"/>
      <c r="I454" s="16"/>
    </row>
    <row r="455">
      <c r="E455" s="13"/>
      <c r="H455" s="16"/>
      <c r="I455" s="16"/>
    </row>
    <row r="456">
      <c r="E456" s="13"/>
      <c r="H456" s="16"/>
      <c r="I456" s="16"/>
    </row>
    <row r="457">
      <c r="E457" s="13"/>
      <c r="H457" s="16"/>
      <c r="I457" s="16"/>
    </row>
    <row r="458">
      <c r="E458" s="13"/>
      <c r="H458" s="16"/>
      <c r="I458" s="16"/>
    </row>
    <row r="459">
      <c r="E459" s="13"/>
      <c r="H459" s="16"/>
      <c r="I459" s="16"/>
    </row>
    <row r="460">
      <c r="E460" s="13"/>
      <c r="H460" s="16"/>
      <c r="I460" s="16"/>
    </row>
    <row r="461">
      <c r="E461" s="13"/>
      <c r="H461" s="16"/>
      <c r="I461" s="16"/>
    </row>
    <row r="462">
      <c r="E462" s="13"/>
      <c r="H462" s="16"/>
      <c r="I462" s="16"/>
    </row>
    <row r="463">
      <c r="E463" s="13"/>
      <c r="H463" s="16"/>
      <c r="I463" s="16"/>
    </row>
    <row r="464">
      <c r="E464" s="13"/>
      <c r="H464" s="16"/>
      <c r="I464" s="16"/>
    </row>
    <row r="465">
      <c r="E465" s="13"/>
      <c r="H465" s="16"/>
      <c r="I465" s="16"/>
    </row>
    <row r="466">
      <c r="E466" s="13"/>
      <c r="H466" s="16"/>
      <c r="I466" s="16"/>
    </row>
    <row r="467">
      <c r="E467" s="13"/>
      <c r="H467" s="16"/>
      <c r="I467" s="16"/>
    </row>
    <row r="468">
      <c r="E468" s="13"/>
      <c r="H468" s="16"/>
      <c r="I468" s="16"/>
    </row>
    <row r="469">
      <c r="E469" s="13"/>
      <c r="H469" s="16"/>
      <c r="I469" s="16"/>
    </row>
    <row r="470">
      <c r="E470" s="13"/>
      <c r="H470" s="16"/>
      <c r="I470" s="16"/>
    </row>
    <row r="471">
      <c r="E471" s="13"/>
      <c r="H471" s="16"/>
      <c r="I471" s="16"/>
    </row>
    <row r="472">
      <c r="E472" s="13"/>
      <c r="H472" s="16"/>
      <c r="I472" s="16"/>
    </row>
    <row r="473">
      <c r="E473" s="13"/>
      <c r="H473" s="16"/>
      <c r="I473" s="16"/>
    </row>
    <row r="474">
      <c r="E474" s="13"/>
      <c r="H474" s="16"/>
      <c r="I474" s="16"/>
    </row>
    <row r="475">
      <c r="E475" s="13"/>
      <c r="H475" s="16"/>
      <c r="I475" s="16"/>
    </row>
    <row r="476">
      <c r="E476" s="13"/>
      <c r="H476" s="16"/>
      <c r="I476" s="16"/>
    </row>
    <row r="477">
      <c r="E477" s="13"/>
      <c r="H477" s="16"/>
      <c r="I477" s="16"/>
    </row>
    <row r="478">
      <c r="E478" s="13"/>
      <c r="H478" s="16"/>
      <c r="I478" s="16"/>
    </row>
    <row r="479">
      <c r="E479" s="13"/>
      <c r="H479" s="16"/>
      <c r="I479" s="16"/>
    </row>
    <row r="480">
      <c r="E480" s="13"/>
      <c r="H480" s="16"/>
      <c r="I480" s="16"/>
    </row>
    <row r="481">
      <c r="E481" s="13"/>
      <c r="H481" s="16"/>
      <c r="I481" s="16"/>
    </row>
    <row r="482">
      <c r="E482" s="13"/>
      <c r="H482" s="16"/>
      <c r="I482" s="16"/>
    </row>
    <row r="483">
      <c r="E483" s="13"/>
      <c r="H483" s="16"/>
      <c r="I483" s="16"/>
    </row>
    <row r="484">
      <c r="E484" s="13"/>
      <c r="H484" s="16"/>
      <c r="I484" s="16"/>
    </row>
    <row r="485">
      <c r="E485" s="13"/>
      <c r="H485" s="16"/>
      <c r="I485" s="16"/>
    </row>
    <row r="486">
      <c r="E486" s="13"/>
      <c r="H486" s="16"/>
      <c r="I486" s="16"/>
    </row>
    <row r="487">
      <c r="E487" s="13"/>
      <c r="H487" s="16"/>
      <c r="I487" s="16"/>
    </row>
    <row r="488">
      <c r="E488" s="13"/>
      <c r="H488" s="16"/>
      <c r="I488" s="16"/>
    </row>
    <row r="489">
      <c r="E489" s="13"/>
      <c r="H489" s="16"/>
      <c r="I489" s="16"/>
    </row>
    <row r="490">
      <c r="E490" s="13"/>
      <c r="H490" s="16"/>
      <c r="I490" s="16"/>
    </row>
    <row r="491">
      <c r="E491" s="13"/>
      <c r="H491" s="16"/>
      <c r="I491" s="16"/>
    </row>
    <row r="492">
      <c r="E492" s="13"/>
      <c r="H492" s="16"/>
      <c r="I492" s="16"/>
    </row>
    <row r="493">
      <c r="E493" s="13"/>
      <c r="H493" s="16"/>
      <c r="I493" s="16"/>
    </row>
    <row r="494">
      <c r="E494" s="13"/>
      <c r="H494" s="16"/>
      <c r="I494" s="16"/>
    </row>
    <row r="495">
      <c r="E495" s="13"/>
      <c r="H495" s="16"/>
      <c r="I495" s="16"/>
    </row>
    <row r="496">
      <c r="E496" s="13"/>
      <c r="H496" s="16"/>
      <c r="I496" s="16"/>
    </row>
    <row r="497">
      <c r="E497" s="13"/>
      <c r="H497" s="16"/>
      <c r="I497" s="16"/>
    </row>
    <row r="498">
      <c r="E498" s="13"/>
      <c r="H498" s="16"/>
      <c r="I498" s="16"/>
    </row>
    <row r="499">
      <c r="E499" s="13"/>
      <c r="H499" s="16"/>
      <c r="I499" s="16"/>
    </row>
    <row r="500">
      <c r="E500" s="13"/>
      <c r="H500" s="16"/>
      <c r="I500" s="16"/>
    </row>
    <row r="501">
      <c r="E501" s="13"/>
      <c r="H501" s="16"/>
      <c r="I501" s="16"/>
    </row>
    <row r="502">
      <c r="E502" s="13"/>
      <c r="H502" s="16"/>
      <c r="I502" s="16"/>
    </row>
    <row r="503">
      <c r="E503" s="13"/>
      <c r="H503" s="16"/>
      <c r="I503" s="16"/>
    </row>
    <row r="504">
      <c r="E504" s="13"/>
      <c r="H504" s="16"/>
      <c r="I504" s="16"/>
    </row>
    <row r="505">
      <c r="E505" s="13"/>
      <c r="H505" s="16"/>
      <c r="I505" s="16"/>
    </row>
    <row r="506">
      <c r="E506" s="13"/>
      <c r="H506" s="16"/>
      <c r="I506" s="16"/>
    </row>
    <row r="507">
      <c r="E507" s="13"/>
      <c r="H507" s="16"/>
      <c r="I507" s="16"/>
    </row>
    <row r="508">
      <c r="E508" s="13"/>
      <c r="H508" s="16"/>
      <c r="I508" s="16"/>
    </row>
    <row r="509">
      <c r="E509" s="13"/>
      <c r="H509" s="16"/>
      <c r="I509" s="16"/>
    </row>
    <row r="510">
      <c r="E510" s="13"/>
      <c r="H510" s="16"/>
      <c r="I510" s="16"/>
    </row>
    <row r="511">
      <c r="E511" s="13"/>
      <c r="H511" s="16"/>
      <c r="I511" s="16"/>
    </row>
    <row r="512">
      <c r="E512" s="13"/>
      <c r="H512" s="16"/>
      <c r="I512" s="16"/>
    </row>
    <row r="513">
      <c r="E513" s="13"/>
      <c r="H513" s="16"/>
      <c r="I513" s="16"/>
    </row>
    <row r="514">
      <c r="E514" s="13"/>
      <c r="H514" s="16"/>
      <c r="I514" s="16"/>
    </row>
    <row r="515">
      <c r="E515" s="13"/>
      <c r="H515" s="16"/>
      <c r="I515" s="16"/>
    </row>
    <row r="516">
      <c r="E516" s="13"/>
      <c r="H516" s="16"/>
      <c r="I516" s="16"/>
    </row>
    <row r="517">
      <c r="E517" s="13"/>
      <c r="H517" s="16"/>
      <c r="I517" s="16"/>
    </row>
    <row r="518">
      <c r="E518" s="13"/>
      <c r="H518" s="16"/>
      <c r="I518" s="16"/>
    </row>
    <row r="519">
      <c r="E519" s="13"/>
      <c r="H519" s="16"/>
      <c r="I519" s="16"/>
    </row>
    <row r="520">
      <c r="E520" s="13"/>
      <c r="H520" s="16"/>
      <c r="I520" s="16"/>
    </row>
    <row r="521">
      <c r="E521" s="13"/>
      <c r="H521" s="16"/>
      <c r="I521" s="16"/>
    </row>
    <row r="522">
      <c r="E522" s="13"/>
      <c r="H522" s="16"/>
      <c r="I522" s="16"/>
    </row>
    <row r="523">
      <c r="E523" s="13"/>
      <c r="H523" s="16"/>
      <c r="I523" s="16"/>
    </row>
    <row r="524">
      <c r="E524" s="13"/>
      <c r="H524" s="16"/>
      <c r="I524" s="16"/>
    </row>
    <row r="525">
      <c r="E525" s="13"/>
      <c r="H525" s="16"/>
      <c r="I525" s="16"/>
    </row>
    <row r="526">
      <c r="E526" s="13"/>
      <c r="H526" s="16"/>
      <c r="I526" s="16"/>
    </row>
    <row r="527">
      <c r="E527" s="13"/>
      <c r="H527" s="16"/>
      <c r="I527" s="16"/>
    </row>
    <row r="528">
      <c r="E528" s="13"/>
      <c r="H528" s="16"/>
      <c r="I528" s="16"/>
    </row>
    <row r="529">
      <c r="E529" s="13"/>
      <c r="H529" s="16"/>
      <c r="I529" s="16"/>
    </row>
    <row r="530">
      <c r="E530" s="13"/>
      <c r="H530" s="16"/>
      <c r="I530" s="16"/>
    </row>
    <row r="531">
      <c r="E531" s="13"/>
      <c r="H531" s="16"/>
      <c r="I531" s="16"/>
    </row>
    <row r="532">
      <c r="E532" s="13"/>
      <c r="H532" s="16"/>
      <c r="I532" s="16"/>
    </row>
    <row r="533">
      <c r="E533" s="13"/>
      <c r="H533" s="16"/>
      <c r="I533" s="16"/>
    </row>
    <row r="534">
      <c r="E534" s="13"/>
      <c r="H534" s="16"/>
      <c r="I534" s="16"/>
    </row>
    <row r="535">
      <c r="E535" s="13"/>
      <c r="H535" s="16"/>
      <c r="I535" s="16"/>
    </row>
    <row r="536">
      <c r="E536" s="13"/>
      <c r="H536" s="16"/>
      <c r="I536" s="16"/>
    </row>
    <row r="537">
      <c r="E537" s="13"/>
      <c r="H537" s="16"/>
      <c r="I537" s="16"/>
    </row>
    <row r="538">
      <c r="E538" s="13"/>
      <c r="H538" s="16"/>
      <c r="I538" s="16"/>
    </row>
    <row r="539">
      <c r="E539" s="13"/>
      <c r="H539" s="16"/>
      <c r="I539" s="16"/>
    </row>
    <row r="540">
      <c r="E540" s="13"/>
      <c r="H540" s="16"/>
      <c r="I540" s="16"/>
    </row>
    <row r="541">
      <c r="E541" s="13"/>
      <c r="H541" s="16"/>
      <c r="I541" s="16"/>
    </row>
    <row r="542">
      <c r="E542" s="13"/>
      <c r="H542" s="16"/>
      <c r="I542" s="16"/>
    </row>
    <row r="543">
      <c r="E543" s="13"/>
      <c r="H543" s="16"/>
      <c r="I543" s="16"/>
    </row>
    <row r="544">
      <c r="E544" s="13"/>
      <c r="H544" s="16"/>
      <c r="I544" s="16"/>
    </row>
    <row r="545">
      <c r="E545" s="13"/>
      <c r="H545" s="16"/>
      <c r="I545" s="16"/>
    </row>
    <row r="546">
      <c r="E546" s="13"/>
      <c r="H546" s="16"/>
      <c r="I546" s="16"/>
    </row>
    <row r="547">
      <c r="E547" s="13"/>
      <c r="H547" s="16"/>
      <c r="I547" s="16"/>
    </row>
    <row r="548">
      <c r="E548" s="13"/>
      <c r="H548" s="16"/>
      <c r="I548" s="16"/>
    </row>
    <row r="549">
      <c r="E549" s="13"/>
      <c r="H549" s="16"/>
      <c r="I549" s="16"/>
    </row>
    <row r="550">
      <c r="E550" s="13"/>
      <c r="H550" s="16"/>
      <c r="I550" s="16"/>
    </row>
    <row r="551">
      <c r="E551" s="13"/>
      <c r="H551" s="16"/>
      <c r="I551" s="16"/>
    </row>
    <row r="552">
      <c r="E552" s="13"/>
      <c r="H552" s="16"/>
      <c r="I552" s="16"/>
    </row>
    <row r="553">
      <c r="E553" s="13"/>
      <c r="H553" s="16"/>
      <c r="I553" s="16"/>
    </row>
    <row r="554">
      <c r="E554" s="13"/>
      <c r="H554" s="16"/>
      <c r="I554" s="16"/>
    </row>
    <row r="555">
      <c r="E555" s="13"/>
      <c r="H555" s="16"/>
      <c r="I555" s="16"/>
    </row>
    <row r="556">
      <c r="E556" s="13"/>
      <c r="H556" s="16"/>
      <c r="I556" s="16"/>
    </row>
    <row r="557">
      <c r="E557" s="13"/>
      <c r="H557" s="16"/>
      <c r="I557" s="16"/>
    </row>
    <row r="558">
      <c r="E558" s="13"/>
      <c r="H558" s="16"/>
      <c r="I558" s="16"/>
    </row>
    <row r="559">
      <c r="E559" s="13"/>
      <c r="H559" s="16"/>
      <c r="I559" s="16"/>
    </row>
    <row r="560">
      <c r="E560" s="13"/>
      <c r="H560" s="16"/>
      <c r="I560" s="16"/>
    </row>
    <row r="561">
      <c r="E561" s="13"/>
      <c r="H561" s="16"/>
      <c r="I561" s="16"/>
    </row>
    <row r="562">
      <c r="E562" s="13"/>
      <c r="H562" s="16"/>
      <c r="I562" s="16"/>
    </row>
    <row r="563">
      <c r="E563" s="13"/>
      <c r="H563" s="16"/>
      <c r="I563" s="16"/>
    </row>
    <row r="564">
      <c r="E564" s="13"/>
      <c r="H564" s="16"/>
      <c r="I564" s="16"/>
    </row>
    <row r="565">
      <c r="E565" s="13"/>
      <c r="H565" s="16"/>
      <c r="I565" s="16"/>
    </row>
    <row r="566">
      <c r="E566" s="13"/>
      <c r="H566" s="16"/>
      <c r="I566" s="16"/>
    </row>
    <row r="567">
      <c r="E567" s="13"/>
      <c r="H567" s="16"/>
      <c r="I567" s="16"/>
    </row>
    <row r="568">
      <c r="E568" s="13"/>
      <c r="H568" s="16"/>
      <c r="I568" s="16"/>
    </row>
    <row r="569">
      <c r="E569" s="13"/>
      <c r="H569" s="16"/>
      <c r="I569" s="16"/>
    </row>
    <row r="570">
      <c r="E570" s="13"/>
      <c r="H570" s="16"/>
      <c r="I570" s="16"/>
    </row>
    <row r="571">
      <c r="E571" s="13"/>
      <c r="H571" s="16"/>
      <c r="I571" s="16"/>
    </row>
    <row r="572">
      <c r="E572" s="13"/>
      <c r="H572" s="16"/>
      <c r="I572" s="16"/>
    </row>
    <row r="573">
      <c r="E573" s="13"/>
      <c r="H573" s="16"/>
      <c r="I573" s="16"/>
    </row>
    <row r="574">
      <c r="E574" s="13"/>
      <c r="H574" s="16"/>
      <c r="I574" s="16"/>
    </row>
    <row r="575">
      <c r="E575" s="13"/>
      <c r="H575" s="16"/>
      <c r="I575" s="16"/>
    </row>
    <row r="576">
      <c r="E576" s="13"/>
      <c r="H576" s="16"/>
      <c r="I576" s="16"/>
    </row>
    <row r="577">
      <c r="E577" s="13"/>
      <c r="H577" s="16"/>
      <c r="I577" s="16"/>
    </row>
    <row r="578">
      <c r="E578" s="13"/>
      <c r="H578" s="16"/>
      <c r="I578" s="16"/>
    </row>
    <row r="579">
      <c r="E579" s="13"/>
      <c r="H579" s="16"/>
      <c r="I579" s="16"/>
    </row>
    <row r="580">
      <c r="E580" s="13"/>
      <c r="H580" s="16"/>
      <c r="I580" s="16"/>
    </row>
    <row r="581">
      <c r="E581" s="13"/>
      <c r="H581" s="16"/>
      <c r="I581" s="16"/>
    </row>
    <row r="582">
      <c r="E582" s="13"/>
      <c r="H582" s="16"/>
      <c r="I582" s="16"/>
    </row>
    <row r="583">
      <c r="E583" s="13"/>
      <c r="H583" s="16"/>
      <c r="I583" s="16"/>
    </row>
    <row r="584">
      <c r="E584" s="13"/>
      <c r="H584" s="16"/>
      <c r="I584" s="16"/>
    </row>
    <row r="585">
      <c r="E585" s="13"/>
      <c r="H585" s="16"/>
      <c r="I585" s="16"/>
    </row>
    <row r="586">
      <c r="E586" s="13"/>
      <c r="H586" s="16"/>
      <c r="I586" s="16"/>
    </row>
    <row r="587">
      <c r="E587" s="13"/>
      <c r="H587" s="16"/>
      <c r="I587" s="16"/>
    </row>
    <row r="588">
      <c r="E588" s="13"/>
      <c r="H588" s="16"/>
      <c r="I588" s="16"/>
    </row>
    <row r="589">
      <c r="E589" s="13"/>
      <c r="H589" s="16"/>
      <c r="I589" s="16"/>
    </row>
    <row r="590">
      <c r="E590" s="13"/>
      <c r="H590" s="16"/>
      <c r="I590" s="16"/>
    </row>
    <row r="591">
      <c r="E591" s="13"/>
      <c r="H591" s="16"/>
      <c r="I591" s="16"/>
    </row>
    <row r="592">
      <c r="E592" s="13"/>
      <c r="H592" s="16"/>
      <c r="I592" s="16"/>
    </row>
    <row r="593">
      <c r="E593" s="13"/>
      <c r="H593" s="16"/>
      <c r="I593" s="16"/>
    </row>
    <row r="594">
      <c r="E594" s="13"/>
      <c r="H594" s="16"/>
      <c r="I594" s="16"/>
    </row>
    <row r="595">
      <c r="E595" s="13"/>
      <c r="H595" s="16"/>
      <c r="I595" s="16"/>
    </row>
    <row r="596">
      <c r="E596" s="13"/>
      <c r="H596" s="16"/>
      <c r="I596" s="16"/>
    </row>
    <row r="597">
      <c r="E597" s="13"/>
      <c r="H597" s="16"/>
      <c r="I597" s="16"/>
    </row>
    <row r="598">
      <c r="E598" s="13"/>
      <c r="H598" s="16"/>
      <c r="I598" s="16"/>
    </row>
    <row r="599">
      <c r="E599" s="13"/>
      <c r="H599" s="16"/>
      <c r="I599" s="16"/>
    </row>
    <row r="600">
      <c r="E600" s="13"/>
      <c r="H600" s="16"/>
      <c r="I600" s="16"/>
    </row>
    <row r="601">
      <c r="E601" s="13"/>
      <c r="H601" s="16"/>
      <c r="I601" s="16"/>
    </row>
    <row r="602">
      <c r="E602" s="13"/>
      <c r="H602" s="16"/>
      <c r="I602" s="16"/>
    </row>
    <row r="603">
      <c r="E603" s="13"/>
      <c r="H603" s="16"/>
      <c r="I603" s="16"/>
    </row>
    <row r="604">
      <c r="E604" s="13"/>
      <c r="H604" s="16"/>
      <c r="I604" s="16"/>
    </row>
    <row r="605">
      <c r="E605" s="13"/>
      <c r="H605" s="16"/>
      <c r="I605" s="16"/>
    </row>
    <row r="606">
      <c r="E606" s="13"/>
      <c r="H606" s="16"/>
      <c r="I606" s="16"/>
    </row>
    <row r="607">
      <c r="E607" s="13"/>
      <c r="H607" s="16"/>
      <c r="I607" s="16"/>
    </row>
    <row r="608">
      <c r="E608" s="13"/>
      <c r="H608" s="16"/>
      <c r="I608" s="16"/>
    </row>
    <row r="609">
      <c r="E609" s="13"/>
      <c r="H609" s="16"/>
      <c r="I609" s="16"/>
    </row>
    <row r="610">
      <c r="E610" s="13"/>
      <c r="H610" s="16"/>
      <c r="I610" s="16"/>
    </row>
    <row r="611">
      <c r="E611" s="13"/>
      <c r="H611" s="16"/>
      <c r="I611" s="16"/>
    </row>
    <row r="612">
      <c r="E612" s="13"/>
      <c r="H612" s="16"/>
      <c r="I612" s="16"/>
    </row>
    <row r="613">
      <c r="E613" s="13"/>
      <c r="H613" s="16"/>
      <c r="I613" s="16"/>
    </row>
    <row r="614">
      <c r="E614" s="13"/>
      <c r="H614" s="16"/>
      <c r="I614" s="16"/>
    </row>
    <row r="615">
      <c r="E615" s="13"/>
      <c r="H615" s="16"/>
      <c r="I615" s="16"/>
    </row>
    <row r="616">
      <c r="E616" s="13"/>
      <c r="H616" s="16"/>
      <c r="I616" s="16"/>
    </row>
    <row r="617">
      <c r="E617" s="13"/>
      <c r="H617" s="16"/>
      <c r="I617" s="16"/>
    </row>
    <row r="618">
      <c r="E618" s="13"/>
      <c r="H618" s="16"/>
      <c r="I618" s="16"/>
    </row>
    <row r="619">
      <c r="E619" s="13"/>
      <c r="H619" s="16"/>
      <c r="I619" s="16"/>
    </row>
    <row r="620">
      <c r="E620" s="13"/>
      <c r="H620" s="16"/>
      <c r="I620" s="16"/>
    </row>
    <row r="621">
      <c r="E621" s="13"/>
      <c r="H621" s="16"/>
      <c r="I621" s="16"/>
    </row>
    <row r="622">
      <c r="E622" s="13"/>
      <c r="H622" s="16"/>
      <c r="I622" s="16"/>
    </row>
    <row r="623">
      <c r="E623" s="13"/>
      <c r="H623" s="16"/>
      <c r="I623" s="16"/>
    </row>
    <row r="624">
      <c r="E624" s="13"/>
      <c r="H624" s="16"/>
      <c r="I624" s="16"/>
    </row>
    <row r="625">
      <c r="E625" s="13"/>
      <c r="H625" s="16"/>
      <c r="I625" s="16"/>
    </row>
    <row r="626">
      <c r="E626" s="13"/>
      <c r="H626" s="16"/>
      <c r="I626" s="16"/>
    </row>
    <row r="627">
      <c r="E627" s="13"/>
      <c r="H627" s="16"/>
      <c r="I627" s="16"/>
    </row>
    <row r="628">
      <c r="E628" s="13"/>
      <c r="H628" s="16"/>
      <c r="I628" s="16"/>
    </row>
    <row r="629">
      <c r="E629" s="13"/>
      <c r="H629" s="16"/>
      <c r="I629" s="16"/>
    </row>
    <row r="630">
      <c r="E630" s="13"/>
      <c r="H630" s="16"/>
      <c r="I630" s="16"/>
    </row>
    <row r="631">
      <c r="E631" s="13"/>
      <c r="H631" s="16"/>
      <c r="I631" s="16"/>
    </row>
    <row r="632">
      <c r="E632" s="13"/>
      <c r="H632" s="16"/>
      <c r="I632" s="16"/>
    </row>
    <row r="633">
      <c r="E633" s="13"/>
      <c r="H633" s="16"/>
      <c r="I633" s="16"/>
    </row>
    <row r="634">
      <c r="E634" s="13"/>
      <c r="H634" s="16"/>
      <c r="I634" s="16"/>
    </row>
    <row r="635">
      <c r="E635" s="13"/>
      <c r="H635" s="16"/>
      <c r="I635" s="16"/>
    </row>
    <row r="636">
      <c r="E636" s="13"/>
      <c r="H636" s="16"/>
      <c r="I636" s="16"/>
    </row>
    <row r="637">
      <c r="E637" s="13"/>
      <c r="H637" s="16"/>
      <c r="I637" s="16"/>
    </row>
    <row r="638">
      <c r="E638" s="13"/>
      <c r="H638" s="16"/>
      <c r="I638" s="16"/>
    </row>
    <row r="639">
      <c r="E639" s="13"/>
      <c r="H639" s="16"/>
      <c r="I639" s="16"/>
    </row>
    <row r="640">
      <c r="E640" s="13"/>
      <c r="H640" s="16"/>
      <c r="I640" s="16"/>
    </row>
    <row r="641">
      <c r="E641" s="13"/>
      <c r="H641" s="16"/>
      <c r="I641" s="16"/>
    </row>
    <row r="642">
      <c r="E642" s="13"/>
      <c r="H642" s="16"/>
      <c r="I642" s="16"/>
    </row>
    <row r="643">
      <c r="E643" s="13"/>
      <c r="H643" s="16"/>
      <c r="I643" s="16"/>
    </row>
    <row r="644">
      <c r="E644" s="13"/>
      <c r="H644" s="16"/>
      <c r="I644" s="16"/>
    </row>
    <row r="645">
      <c r="E645" s="13"/>
      <c r="H645" s="16"/>
      <c r="I645" s="16"/>
    </row>
    <row r="646">
      <c r="E646" s="13"/>
      <c r="H646" s="16"/>
      <c r="I646" s="16"/>
    </row>
    <row r="647">
      <c r="E647" s="13"/>
      <c r="H647" s="16"/>
      <c r="I647" s="16"/>
    </row>
    <row r="648">
      <c r="E648" s="13"/>
      <c r="H648" s="16"/>
      <c r="I648" s="16"/>
    </row>
    <row r="649">
      <c r="E649" s="13"/>
      <c r="H649" s="16"/>
      <c r="I649" s="16"/>
    </row>
    <row r="650">
      <c r="E650" s="13"/>
      <c r="H650" s="16"/>
      <c r="I650" s="16"/>
    </row>
    <row r="651">
      <c r="E651" s="13"/>
      <c r="H651" s="16"/>
      <c r="I651" s="16"/>
    </row>
    <row r="652">
      <c r="E652" s="13"/>
      <c r="H652" s="16"/>
      <c r="I652" s="16"/>
    </row>
    <row r="653">
      <c r="E653" s="13"/>
      <c r="H653" s="16"/>
      <c r="I653" s="16"/>
    </row>
    <row r="654">
      <c r="E654" s="13"/>
      <c r="H654" s="16"/>
      <c r="I654" s="16"/>
    </row>
    <row r="655">
      <c r="E655" s="13"/>
      <c r="H655" s="16"/>
      <c r="I655" s="16"/>
    </row>
    <row r="656">
      <c r="E656" s="13"/>
      <c r="H656" s="16"/>
      <c r="I656" s="16"/>
    </row>
    <row r="657">
      <c r="E657" s="13"/>
      <c r="H657" s="16"/>
      <c r="I657" s="16"/>
    </row>
    <row r="658">
      <c r="E658" s="13"/>
      <c r="H658" s="16"/>
      <c r="I658" s="16"/>
    </row>
    <row r="659">
      <c r="E659" s="13"/>
      <c r="H659" s="16"/>
      <c r="I659" s="16"/>
    </row>
    <row r="660">
      <c r="E660" s="13"/>
      <c r="H660" s="16"/>
      <c r="I660" s="16"/>
    </row>
    <row r="661">
      <c r="E661" s="13"/>
      <c r="H661" s="16"/>
      <c r="I661" s="16"/>
    </row>
    <row r="662">
      <c r="E662" s="13"/>
      <c r="H662" s="16"/>
      <c r="I662" s="16"/>
    </row>
    <row r="663">
      <c r="E663" s="13"/>
      <c r="H663" s="16"/>
      <c r="I663" s="16"/>
    </row>
    <row r="664">
      <c r="E664" s="13"/>
      <c r="H664" s="16"/>
      <c r="I664" s="16"/>
    </row>
    <row r="665">
      <c r="E665" s="13"/>
      <c r="H665" s="16"/>
      <c r="I665" s="16"/>
    </row>
    <row r="666">
      <c r="E666" s="13"/>
      <c r="H666" s="16"/>
      <c r="I666" s="16"/>
    </row>
    <row r="667">
      <c r="E667" s="13"/>
      <c r="H667" s="16"/>
      <c r="I667" s="16"/>
    </row>
    <row r="668">
      <c r="E668" s="13"/>
      <c r="H668" s="16"/>
      <c r="I668" s="16"/>
    </row>
    <row r="669">
      <c r="E669" s="13"/>
      <c r="H669" s="16"/>
      <c r="I669" s="16"/>
    </row>
    <row r="670">
      <c r="E670" s="13"/>
      <c r="H670" s="16"/>
      <c r="I670" s="16"/>
    </row>
    <row r="671">
      <c r="E671" s="13"/>
      <c r="H671" s="16"/>
      <c r="I671" s="16"/>
    </row>
    <row r="672">
      <c r="E672" s="13"/>
      <c r="H672" s="16"/>
      <c r="I672" s="16"/>
    </row>
    <row r="673">
      <c r="E673" s="13"/>
      <c r="H673" s="16"/>
      <c r="I673" s="16"/>
    </row>
    <row r="674">
      <c r="E674" s="13"/>
      <c r="H674" s="16"/>
      <c r="I674" s="16"/>
    </row>
    <row r="675">
      <c r="E675" s="13"/>
      <c r="H675" s="16"/>
      <c r="I675" s="16"/>
    </row>
    <row r="676">
      <c r="E676" s="13"/>
      <c r="H676" s="16"/>
      <c r="I676" s="16"/>
    </row>
    <row r="677">
      <c r="E677" s="13"/>
      <c r="H677" s="16"/>
      <c r="I677" s="16"/>
    </row>
    <row r="678">
      <c r="E678" s="13"/>
      <c r="H678" s="16"/>
      <c r="I678" s="16"/>
    </row>
    <row r="679">
      <c r="E679" s="13"/>
      <c r="H679" s="16"/>
      <c r="I679" s="16"/>
    </row>
    <row r="680">
      <c r="E680" s="13"/>
      <c r="H680" s="16"/>
      <c r="I680" s="16"/>
    </row>
    <row r="681">
      <c r="E681" s="13"/>
      <c r="H681" s="16"/>
      <c r="I681" s="16"/>
    </row>
    <row r="682">
      <c r="E682" s="13"/>
      <c r="H682" s="16"/>
      <c r="I682" s="16"/>
    </row>
    <row r="683">
      <c r="E683" s="13"/>
      <c r="H683" s="16"/>
      <c r="I683" s="16"/>
    </row>
    <row r="684">
      <c r="E684" s="13"/>
      <c r="H684" s="16"/>
      <c r="I684" s="16"/>
    </row>
    <row r="685">
      <c r="E685" s="13"/>
      <c r="H685" s="16"/>
      <c r="I685" s="16"/>
    </row>
    <row r="686">
      <c r="E686" s="13"/>
      <c r="H686" s="16"/>
      <c r="I686" s="16"/>
    </row>
    <row r="687">
      <c r="E687" s="13"/>
      <c r="H687" s="16"/>
      <c r="I687" s="16"/>
    </row>
    <row r="688">
      <c r="E688" s="13"/>
      <c r="H688" s="16"/>
      <c r="I688" s="16"/>
    </row>
    <row r="689">
      <c r="E689" s="13"/>
      <c r="H689" s="16"/>
      <c r="I689" s="16"/>
    </row>
    <row r="690">
      <c r="E690" s="13"/>
      <c r="H690" s="16"/>
      <c r="I690" s="16"/>
    </row>
    <row r="691">
      <c r="E691" s="13"/>
      <c r="H691" s="16"/>
      <c r="I691" s="16"/>
    </row>
    <row r="692">
      <c r="E692" s="13"/>
      <c r="H692" s="16"/>
      <c r="I692" s="16"/>
    </row>
    <row r="693">
      <c r="E693" s="13"/>
      <c r="H693" s="16"/>
      <c r="I693" s="16"/>
    </row>
    <row r="694">
      <c r="E694" s="13"/>
      <c r="H694" s="16"/>
      <c r="I694" s="16"/>
    </row>
    <row r="695">
      <c r="E695" s="13"/>
      <c r="H695" s="16"/>
      <c r="I695" s="16"/>
    </row>
    <row r="696">
      <c r="E696" s="13"/>
      <c r="H696" s="16"/>
      <c r="I696" s="16"/>
    </row>
    <row r="697">
      <c r="E697" s="13"/>
      <c r="H697" s="16"/>
      <c r="I697" s="16"/>
    </row>
    <row r="698">
      <c r="E698" s="13"/>
      <c r="H698" s="16"/>
      <c r="I698" s="16"/>
    </row>
    <row r="699">
      <c r="E699" s="13"/>
      <c r="H699" s="16"/>
      <c r="I699" s="16"/>
    </row>
    <row r="700">
      <c r="E700" s="13"/>
      <c r="H700" s="16"/>
      <c r="I700" s="16"/>
    </row>
    <row r="701">
      <c r="E701" s="13"/>
      <c r="H701" s="16"/>
      <c r="I701" s="16"/>
    </row>
    <row r="702">
      <c r="E702" s="13"/>
      <c r="H702" s="16"/>
      <c r="I702" s="16"/>
    </row>
    <row r="703">
      <c r="E703" s="13"/>
      <c r="H703" s="16"/>
      <c r="I703" s="16"/>
    </row>
    <row r="704">
      <c r="E704" s="13"/>
      <c r="H704" s="16"/>
      <c r="I704" s="16"/>
    </row>
    <row r="705">
      <c r="E705" s="13"/>
      <c r="H705" s="16"/>
      <c r="I705" s="16"/>
    </row>
    <row r="706">
      <c r="E706" s="13"/>
      <c r="H706" s="16"/>
      <c r="I706" s="16"/>
    </row>
    <row r="707">
      <c r="E707" s="13"/>
      <c r="H707" s="16"/>
      <c r="I707" s="16"/>
    </row>
    <row r="708">
      <c r="E708" s="13"/>
      <c r="H708" s="16"/>
      <c r="I708" s="16"/>
    </row>
    <row r="709">
      <c r="E709" s="13"/>
      <c r="H709" s="16"/>
      <c r="I709" s="16"/>
    </row>
    <row r="710">
      <c r="E710" s="13"/>
      <c r="H710" s="16"/>
      <c r="I710" s="16"/>
    </row>
    <row r="711">
      <c r="E711" s="13"/>
      <c r="H711" s="16"/>
      <c r="I711" s="16"/>
    </row>
    <row r="712">
      <c r="E712" s="13"/>
      <c r="H712" s="16"/>
      <c r="I712" s="16"/>
    </row>
    <row r="713">
      <c r="E713" s="13"/>
      <c r="H713" s="16"/>
      <c r="I713" s="16"/>
    </row>
    <row r="714">
      <c r="E714" s="13"/>
      <c r="H714" s="16"/>
      <c r="I714" s="16"/>
    </row>
    <row r="715">
      <c r="E715" s="13"/>
      <c r="H715" s="16"/>
      <c r="I715" s="16"/>
    </row>
    <row r="716">
      <c r="E716" s="13"/>
      <c r="H716" s="16"/>
      <c r="I716" s="16"/>
    </row>
    <row r="717">
      <c r="E717" s="13"/>
      <c r="H717" s="16"/>
      <c r="I717" s="16"/>
    </row>
    <row r="718">
      <c r="E718" s="13"/>
      <c r="H718" s="16"/>
      <c r="I718" s="16"/>
    </row>
    <row r="719">
      <c r="E719" s="13"/>
      <c r="H719" s="16"/>
      <c r="I719" s="16"/>
    </row>
    <row r="720">
      <c r="E720" s="13"/>
      <c r="H720" s="16"/>
      <c r="I720" s="16"/>
    </row>
    <row r="721">
      <c r="E721" s="13"/>
      <c r="H721" s="16"/>
      <c r="I721" s="16"/>
    </row>
    <row r="722">
      <c r="E722" s="13"/>
      <c r="H722" s="16"/>
      <c r="I722" s="16"/>
    </row>
    <row r="723">
      <c r="E723" s="13"/>
      <c r="H723" s="16"/>
      <c r="I723" s="16"/>
    </row>
    <row r="724">
      <c r="E724" s="13"/>
      <c r="H724" s="16"/>
      <c r="I724" s="16"/>
    </row>
    <row r="725">
      <c r="E725" s="13"/>
      <c r="H725" s="16"/>
      <c r="I725" s="16"/>
    </row>
    <row r="726">
      <c r="E726" s="13"/>
      <c r="H726" s="16"/>
      <c r="I726" s="16"/>
    </row>
    <row r="727">
      <c r="E727" s="13"/>
      <c r="H727" s="16"/>
      <c r="I727" s="16"/>
    </row>
    <row r="728">
      <c r="E728" s="13"/>
      <c r="H728" s="16"/>
      <c r="I728" s="16"/>
    </row>
    <row r="729">
      <c r="E729" s="13"/>
      <c r="H729" s="16"/>
      <c r="I729" s="16"/>
    </row>
    <row r="730">
      <c r="E730" s="13"/>
      <c r="H730" s="16"/>
      <c r="I730" s="16"/>
    </row>
    <row r="731">
      <c r="E731" s="13"/>
      <c r="H731" s="16"/>
      <c r="I731" s="16"/>
    </row>
    <row r="732">
      <c r="E732" s="13"/>
      <c r="H732" s="16"/>
      <c r="I732" s="16"/>
    </row>
    <row r="733">
      <c r="E733" s="13"/>
      <c r="H733" s="16"/>
      <c r="I733" s="16"/>
    </row>
    <row r="734">
      <c r="E734" s="13"/>
      <c r="H734" s="16"/>
      <c r="I734" s="16"/>
    </row>
    <row r="735">
      <c r="E735" s="13"/>
      <c r="H735" s="16"/>
      <c r="I735" s="16"/>
    </row>
    <row r="736">
      <c r="E736" s="13"/>
      <c r="H736" s="16"/>
      <c r="I736" s="16"/>
    </row>
    <row r="737">
      <c r="E737" s="13"/>
      <c r="H737" s="16"/>
      <c r="I737" s="16"/>
    </row>
    <row r="738">
      <c r="E738" s="13"/>
      <c r="H738" s="16"/>
      <c r="I738" s="16"/>
    </row>
    <row r="739">
      <c r="E739" s="13"/>
      <c r="H739" s="16"/>
      <c r="I739" s="16"/>
    </row>
    <row r="740">
      <c r="E740" s="13"/>
      <c r="H740" s="16"/>
      <c r="I740" s="16"/>
    </row>
    <row r="741">
      <c r="E741" s="13"/>
      <c r="H741" s="16"/>
      <c r="I741" s="16"/>
    </row>
    <row r="742">
      <c r="E742" s="13"/>
      <c r="H742" s="16"/>
      <c r="I742" s="16"/>
    </row>
    <row r="743">
      <c r="E743" s="13"/>
      <c r="H743" s="16"/>
      <c r="I743" s="16"/>
    </row>
    <row r="744">
      <c r="E744" s="13"/>
      <c r="H744" s="16"/>
      <c r="I744" s="16"/>
    </row>
    <row r="745">
      <c r="E745" s="13"/>
      <c r="H745" s="16"/>
      <c r="I745" s="16"/>
    </row>
    <row r="746">
      <c r="E746" s="13"/>
      <c r="H746" s="16"/>
      <c r="I746" s="16"/>
    </row>
    <row r="747">
      <c r="E747" s="13"/>
      <c r="H747" s="16"/>
      <c r="I747" s="16"/>
    </row>
    <row r="748">
      <c r="E748" s="13"/>
      <c r="H748" s="16"/>
      <c r="I748" s="16"/>
    </row>
    <row r="749">
      <c r="E749" s="13"/>
      <c r="H749" s="16"/>
      <c r="I749" s="16"/>
    </row>
    <row r="750">
      <c r="E750" s="13"/>
      <c r="H750" s="16"/>
      <c r="I750" s="16"/>
    </row>
    <row r="751">
      <c r="E751" s="13"/>
      <c r="H751" s="16"/>
      <c r="I751" s="16"/>
    </row>
    <row r="752">
      <c r="E752" s="13"/>
      <c r="H752" s="16"/>
      <c r="I752" s="16"/>
    </row>
    <row r="753">
      <c r="E753" s="13"/>
      <c r="H753" s="16"/>
      <c r="I753" s="16"/>
    </row>
    <row r="754">
      <c r="E754" s="13"/>
      <c r="H754" s="16"/>
      <c r="I754" s="16"/>
    </row>
    <row r="755">
      <c r="E755" s="13"/>
      <c r="H755" s="16"/>
      <c r="I755" s="16"/>
    </row>
    <row r="756">
      <c r="E756" s="13"/>
      <c r="H756" s="16"/>
      <c r="I756" s="16"/>
    </row>
    <row r="757">
      <c r="E757" s="13"/>
      <c r="H757" s="16"/>
      <c r="I757" s="16"/>
    </row>
    <row r="758">
      <c r="E758" s="13"/>
      <c r="H758" s="16"/>
      <c r="I758" s="16"/>
    </row>
    <row r="759">
      <c r="E759" s="13"/>
      <c r="H759" s="16"/>
      <c r="I759" s="16"/>
    </row>
    <row r="760">
      <c r="E760" s="13"/>
      <c r="H760" s="16"/>
      <c r="I760" s="16"/>
    </row>
    <row r="761">
      <c r="E761" s="13"/>
      <c r="H761" s="16"/>
      <c r="I761" s="16"/>
    </row>
    <row r="762">
      <c r="E762" s="13"/>
      <c r="H762" s="16"/>
      <c r="I762" s="16"/>
    </row>
    <row r="763">
      <c r="E763" s="13"/>
      <c r="H763" s="16"/>
      <c r="I763" s="16"/>
    </row>
    <row r="764">
      <c r="E764" s="13"/>
      <c r="H764" s="16"/>
      <c r="I764" s="16"/>
    </row>
    <row r="765">
      <c r="E765" s="13"/>
      <c r="H765" s="16"/>
      <c r="I765" s="16"/>
    </row>
    <row r="766">
      <c r="E766" s="13"/>
      <c r="H766" s="16"/>
      <c r="I766" s="16"/>
    </row>
    <row r="767">
      <c r="E767" s="13"/>
      <c r="H767" s="16"/>
      <c r="I767" s="16"/>
    </row>
    <row r="768">
      <c r="E768" s="13"/>
      <c r="H768" s="16"/>
      <c r="I768" s="16"/>
    </row>
    <row r="769">
      <c r="E769" s="13"/>
      <c r="H769" s="16"/>
      <c r="I769" s="16"/>
    </row>
    <row r="770">
      <c r="E770" s="13"/>
      <c r="H770" s="16"/>
      <c r="I770" s="16"/>
    </row>
    <row r="771">
      <c r="E771" s="13"/>
      <c r="H771" s="16"/>
      <c r="I771" s="16"/>
    </row>
    <row r="772">
      <c r="E772" s="13"/>
      <c r="H772" s="16"/>
      <c r="I772" s="16"/>
    </row>
    <row r="773">
      <c r="E773" s="13"/>
      <c r="H773" s="16"/>
      <c r="I773" s="16"/>
    </row>
    <row r="774">
      <c r="E774" s="13"/>
      <c r="H774" s="16"/>
      <c r="I774" s="16"/>
    </row>
    <row r="775">
      <c r="E775" s="13"/>
      <c r="H775" s="16"/>
      <c r="I775" s="16"/>
    </row>
    <row r="776">
      <c r="E776" s="13"/>
      <c r="H776" s="16"/>
      <c r="I776" s="16"/>
    </row>
    <row r="777">
      <c r="E777" s="13"/>
      <c r="H777" s="16"/>
      <c r="I777" s="16"/>
    </row>
    <row r="778">
      <c r="E778" s="13"/>
      <c r="H778" s="16"/>
      <c r="I778" s="16"/>
    </row>
    <row r="779">
      <c r="E779" s="13"/>
      <c r="H779" s="16"/>
      <c r="I779" s="16"/>
    </row>
    <row r="780">
      <c r="E780" s="13"/>
      <c r="H780" s="16"/>
      <c r="I780" s="16"/>
    </row>
    <row r="781">
      <c r="E781" s="13"/>
      <c r="H781" s="16"/>
      <c r="I781" s="16"/>
    </row>
    <row r="782">
      <c r="E782" s="13"/>
      <c r="H782" s="16"/>
      <c r="I782" s="16"/>
    </row>
    <row r="783">
      <c r="E783" s="13"/>
      <c r="H783" s="16"/>
      <c r="I783" s="16"/>
    </row>
    <row r="784">
      <c r="E784" s="13"/>
      <c r="H784" s="16"/>
      <c r="I784" s="16"/>
    </row>
    <row r="785">
      <c r="E785" s="13"/>
      <c r="H785" s="16"/>
      <c r="I785" s="16"/>
    </row>
    <row r="786">
      <c r="E786" s="13"/>
      <c r="H786" s="16"/>
      <c r="I786" s="16"/>
    </row>
    <row r="787">
      <c r="E787" s="13"/>
      <c r="H787" s="16"/>
      <c r="I787" s="16"/>
    </row>
    <row r="788">
      <c r="E788" s="13"/>
      <c r="H788" s="16"/>
      <c r="I788" s="16"/>
    </row>
    <row r="789">
      <c r="E789" s="13"/>
      <c r="H789" s="16"/>
      <c r="I789" s="16"/>
    </row>
    <row r="790">
      <c r="E790" s="13"/>
      <c r="H790" s="16"/>
      <c r="I790" s="16"/>
    </row>
    <row r="791">
      <c r="E791" s="13"/>
      <c r="H791" s="16"/>
      <c r="I791" s="16"/>
    </row>
    <row r="792">
      <c r="E792" s="13"/>
      <c r="H792" s="16"/>
      <c r="I792" s="16"/>
    </row>
    <row r="793">
      <c r="E793" s="13"/>
      <c r="H793" s="16"/>
      <c r="I793" s="16"/>
    </row>
    <row r="794">
      <c r="E794" s="13"/>
      <c r="H794" s="16"/>
      <c r="I794" s="16"/>
    </row>
    <row r="795">
      <c r="E795" s="13"/>
      <c r="H795" s="16"/>
      <c r="I795" s="16"/>
    </row>
    <row r="796">
      <c r="E796" s="13"/>
      <c r="H796" s="16"/>
      <c r="I796" s="16"/>
    </row>
    <row r="797">
      <c r="E797" s="13"/>
      <c r="H797" s="16"/>
      <c r="I797" s="16"/>
    </row>
    <row r="798">
      <c r="E798" s="13"/>
      <c r="H798" s="16"/>
      <c r="I798" s="16"/>
    </row>
    <row r="799">
      <c r="E799" s="13"/>
      <c r="H799" s="16"/>
      <c r="I799" s="16"/>
    </row>
    <row r="800">
      <c r="E800" s="13"/>
      <c r="H800" s="16"/>
      <c r="I800" s="16"/>
    </row>
    <row r="801">
      <c r="E801" s="13"/>
      <c r="H801" s="16"/>
      <c r="I801" s="16"/>
    </row>
    <row r="802">
      <c r="E802" s="13"/>
      <c r="H802" s="16"/>
      <c r="I802" s="16"/>
    </row>
    <row r="803">
      <c r="E803" s="13"/>
      <c r="H803" s="16"/>
      <c r="I803" s="16"/>
    </row>
    <row r="804">
      <c r="E804" s="13"/>
      <c r="H804" s="16"/>
      <c r="I804" s="16"/>
    </row>
    <row r="805">
      <c r="E805" s="13"/>
      <c r="H805" s="16"/>
      <c r="I805" s="16"/>
    </row>
    <row r="806">
      <c r="E806" s="13"/>
      <c r="H806" s="16"/>
      <c r="I806" s="16"/>
    </row>
    <row r="807">
      <c r="E807" s="13"/>
      <c r="H807" s="16"/>
      <c r="I807" s="16"/>
    </row>
    <row r="808">
      <c r="E808" s="13"/>
      <c r="H808" s="16"/>
      <c r="I808" s="16"/>
    </row>
    <row r="809">
      <c r="E809" s="13"/>
      <c r="H809" s="16"/>
      <c r="I809" s="16"/>
    </row>
    <row r="810">
      <c r="E810" s="13"/>
      <c r="H810" s="16"/>
      <c r="I810" s="16"/>
    </row>
    <row r="811">
      <c r="E811" s="13"/>
      <c r="H811" s="16"/>
      <c r="I811" s="16"/>
    </row>
    <row r="812">
      <c r="E812" s="13"/>
      <c r="H812" s="16"/>
      <c r="I812" s="16"/>
    </row>
    <row r="813">
      <c r="E813" s="13"/>
      <c r="H813" s="16"/>
      <c r="I813" s="16"/>
    </row>
    <row r="814">
      <c r="E814" s="13"/>
      <c r="H814" s="16"/>
      <c r="I814" s="16"/>
    </row>
    <row r="815">
      <c r="E815" s="13"/>
      <c r="H815" s="16"/>
      <c r="I815" s="16"/>
    </row>
    <row r="816">
      <c r="E816" s="13"/>
      <c r="H816" s="16"/>
      <c r="I816" s="16"/>
    </row>
    <row r="817">
      <c r="E817" s="13"/>
      <c r="H817" s="16"/>
      <c r="I817" s="16"/>
    </row>
    <row r="818">
      <c r="E818" s="13"/>
      <c r="H818" s="16"/>
      <c r="I818" s="16"/>
    </row>
    <row r="819">
      <c r="E819" s="13"/>
      <c r="H819" s="16"/>
      <c r="I819" s="16"/>
    </row>
    <row r="820">
      <c r="E820" s="13"/>
      <c r="H820" s="16"/>
      <c r="I820" s="16"/>
    </row>
    <row r="821">
      <c r="E821" s="13"/>
      <c r="H821" s="16"/>
      <c r="I821" s="16"/>
    </row>
    <row r="822">
      <c r="E822" s="13"/>
      <c r="H822" s="16"/>
      <c r="I822" s="16"/>
    </row>
    <row r="823">
      <c r="E823" s="13"/>
      <c r="H823" s="16"/>
      <c r="I823" s="16"/>
    </row>
    <row r="824">
      <c r="E824" s="13"/>
      <c r="H824" s="16"/>
      <c r="I824" s="16"/>
    </row>
    <row r="825">
      <c r="E825" s="13"/>
      <c r="H825" s="16"/>
      <c r="I825" s="16"/>
    </row>
    <row r="826">
      <c r="E826" s="13"/>
      <c r="H826" s="16"/>
      <c r="I826" s="16"/>
    </row>
    <row r="827">
      <c r="E827" s="13"/>
      <c r="H827" s="16"/>
      <c r="I827" s="16"/>
    </row>
    <row r="828">
      <c r="E828" s="13"/>
      <c r="H828" s="16"/>
      <c r="I828" s="16"/>
    </row>
    <row r="829">
      <c r="E829" s="13"/>
      <c r="H829" s="16"/>
      <c r="I829" s="16"/>
    </row>
    <row r="830">
      <c r="E830" s="13"/>
      <c r="H830" s="16"/>
      <c r="I830" s="16"/>
    </row>
    <row r="831">
      <c r="E831" s="13"/>
      <c r="H831" s="16"/>
      <c r="I831" s="16"/>
    </row>
    <row r="832">
      <c r="E832" s="13"/>
      <c r="H832" s="16"/>
      <c r="I832" s="16"/>
    </row>
    <row r="833">
      <c r="E833" s="13"/>
      <c r="H833" s="16"/>
      <c r="I833" s="16"/>
    </row>
    <row r="834">
      <c r="E834" s="13"/>
      <c r="H834" s="16"/>
      <c r="I834" s="16"/>
    </row>
    <row r="835">
      <c r="E835" s="13"/>
      <c r="H835" s="16"/>
      <c r="I835" s="16"/>
    </row>
    <row r="836">
      <c r="E836" s="13"/>
      <c r="H836" s="16"/>
      <c r="I836" s="16"/>
    </row>
    <row r="837">
      <c r="E837" s="13"/>
      <c r="H837" s="16"/>
      <c r="I837" s="16"/>
    </row>
    <row r="838">
      <c r="E838" s="13"/>
      <c r="H838" s="16"/>
      <c r="I838" s="16"/>
    </row>
    <row r="839">
      <c r="E839" s="13"/>
      <c r="H839" s="16"/>
      <c r="I839" s="16"/>
    </row>
    <row r="840">
      <c r="E840" s="13"/>
      <c r="H840" s="16"/>
      <c r="I840" s="16"/>
    </row>
    <row r="841">
      <c r="E841" s="13"/>
      <c r="H841" s="16"/>
      <c r="I841" s="16"/>
    </row>
    <row r="842">
      <c r="E842" s="13"/>
      <c r="H842" s="16"/>
      <c r="I842" s="16"/>
    </row>
    <row r="843">
      <c r="E843" s="13"/>
      <c r="H843" s="16"/>
      <c r="I843" s="16"/>
    </row>
    <row r="844">
      <c r="E844" s="13"/>
      <c r="H844" s="16"/>
      <c r="I844" s="16"/>
    </row>
    <row r="845">
      <c r="E845" s="13"/>
      <c r="H845" s="16"/>
      <c r="I845" s="16"/>
    </row>
    <row r="846">
      <c r="E846" s="13"/>
      <c r="H846" s="16"/>
      <c r="I846" s="16"/>
    </row>
    <row r="847">
      <c r="E847" s="13"/>
      <c r="H847" s="16"/>
      <c r="I847" s="16"/>
    </row>
    <row r="848">
      <c r="E848" s="13"/>
      <c r="H848" s="16"/>
      <c r="I848" s="16"/>
    </row>
    <row r="849">
      <c r="E849" s="13"/>
      <c r="H849" s="16"/>
      <c r="I849" s="16"/>
    </row>
    <row r="850">
      <c r="E850" s="13"/>
      <c r="H850" s="16"/>
      <c r="I850" s="16"/>
    </row>
    <row r="851">
      <c r="E851" s="13"/>
      <c r="H851" s="16"/>
      <c r="I851" s="16"/>
    </row>
    <row r="852">
      <c r="E852" s="13"/>
      <c r="H852" s="16"/>
      <c r="I852" s="16"/>
    </row>
    <row r="853">
      <c r="E853" s="13"/>
      <c r="H853" s="16"/>
      <c r="I853" s="16"/>
    </row>
    <row r="854">
      <c r="E854" s="13"/>
      <c r="H854" s="16"/>
      <c r="I854" s="16"/>
    </row>
    <row r="855">
      <c r="E855" s="13"/>
      <c r="H855" s="16"/>
      <c r="I855" s="16"/>
    </row>
    <row r="856">
      <c r="E856" s="13"/>
      <c r="H856" s="16"/>
      <c r="I856" s="16"/>
    </row>
    <row r="857">
      <c r="E857" s="13"/>
      <c r="H857" s="16"/>
      <c r="I857" s="16"/>
    </row>
    <row r="858">
      <c r="E858" s="13"/>
      <c r="H858" s="16"/>
      <c r="I858" s="16"/>
    </row>
    <row r="859">
      <c r="E859" s="13"/>
      <c r="H859" s="16"/>
      <c r="I859" s="16"/>
    </row>
    <row r="860">
      <c r="E860" s="13"/>
      <c r="H860" s="16"/>
      <c r="I860" s="16"/>
    </row>
    <row r="861">
      <c r="E861" s="13"/>
      <c r="H861" s="16"/>
      <c r="I861" s="16"/>
    </row>
    <row r="862">
      <c r="E862" s="13"/>
      <c r="H862" s="16"/>
      <c r="I862" s="16"/>
    </row>
    <row r="863">
      <c r="E863" s="13"/>
      <c r="H863" s="16"/>
      <c r="I863" s="16"/>
    </row>
    <row r="864">
      <c r="E864" s="13"/>
      <c r="H864" s="16"/>
      <c r="I864" s="16"/>
    </row>
    <row r="865">
      <c r="E865" s="13"/>
      <c r="H865" s="16"/>
      <c r="I865" s="16"/>
    </row>
    <row r="866">
      <c r="E866" s="13"/>
      <c r="H866" s="16"/>
      <c r="I866" s="16"/>
    </row>
    <row r="867">
      <c r="E867" s="13"/>
      <c r="H867" s="16"/>
      <c r="I867" s="16"/>
    </row>
    <row r="868">
      <c r="E868" s="13"/>
      <c r="H868" s="16"/>
      <c r="I868" s="16"/>
    </row>
    <row r="869">
      <c r="E869" s="13"/>
      <c r="H869" s="16"/>
      <c r="I869" s="16"/>
    </row>
    <row r="870">
      <c r="E870" s="13"/>
      <c r="H870" s="16"/>
      <c r="I870" s="16"/>
    </row>
    <row r="871">
      <c r="E871" s="13"/>
      <c r="H871" s="16"/>
      <c r="I871" s="16"/>
    </row>
    <row r="872">
      <c r="E872" s="13"/>
      <c r="H872" s="16"/>
      <c r="I872" s="16"/>
    </row>
    <row r="873">
      <c r="E873" s="13"/>
      <c r="H873" s="16"/>
      <c r="I873" s="16"/>
    </row>
    <row r="874">
      <c r="E874" s="13"/>
      <c r="H874" s="16"/>
      <c r="I874" s="16"/>
    </row>
    <row r="875">
      <c r="E875" s="13"/>
      <c r="H875" s="16"/>
      <c r="I875" s="16"/>
    </row>
    <row r="876">
      <c r="E876" s="13"/>
      <c r="H876" s="16"/>
      <c r="I876" s="16"/>
    </row>
    <row r="877">
      <c r="E877" s="13"/>
      <c r="H877" s="16"/>
      <c r="I877" s="16"/>
    </row>
    <row r="878">
      <c r="E878" s="13"/>
      <c r="H878" s="16"/>
      <c r="I878" s="16"/>
    </row>
    <row r="879">
      <c r="E879" s="13"/>
      <c r="H879" s="16"/>
      <c r="I879" s="16"/>
    </row>
    <row r="880">
      <c r="E880" s="13"/>
      <c r="H880" s="16"/>
      <c r="I880" s="16"/>
    </row>
    <row r="881">
      <c r="E881" s="13"/>
      <c r="H881" s="16"/>
      <c r="I881" s="16"/>
    </row>
    <row r="882">
      <c r="E882" s="13"/>
      <c r="H882" s="16"/>
      <c r="I882" s="16"/>
    </row>
    <row r="883">
      <c r="E883" s="13"/>
      <c r="H883" s="16"/>
      <c r="I883" s="16"/>
    </row>
    <row r="884">
      <c r="E884" s="13"/>
      <c r="H884" s="16"/>
      <c r="I884" s="16"/>
    </row>
    <row r="885">
      <c r="E885" s="13"/>
      <c r="H885" s="16"/>
      <c r="I885" s="16"/>
    </row>
    <row r="886">
      <c r="E886" s="13"/>
      <c r="H886" s="16"/>
      <c r="I886" s="16"/>
    </row>
    <row r="887">
      <c r="E887" s="13"/>
      <c r="H887" s="16"/>
      <c r="I887" s="16"/>
    </row>
    <row r="888">
      <c r="E888" s="13"/>
      <c r="H888" s="16"/>
      <c r="I888" s="16"/>
    </row>
    <row r="889">
      <c r="E889" s="13"/>
      <c r="H889" s="16"/>
      <c r="I889" s="16"/>
    </row>
    <row r="890">
      <c r="E890" s="13"/>
      <c r="H890" s="16"/>
      <c r="I890" s="16"/>
    </row>
    <row r="891">
      <c r="E891" s="13"/>
      <c r="H891" s="16"/>
      <c r="I891" s="16"/>
    </row>
    <row r="892">
      <c r="E892" s="13"/>
      <c r="H892" s="16"/>
      <c r="I892" s="16"/>
    </row>
    <row r="893">
      <c r="E893" s="13"/>
      <c r="H893" s="16"/>
      <c r="I893" s="16"/>
    </row>
    <row r="894">
      <c r="E894" s="13"/>
      <c r="H894" s="16"/>
      <c r="I894" s="16"/>
    </row>
    <row r="895">
      <c r="E895" s="13"/>
      <c r="H895" s="16"/>
      <c r="I895" s="16"/>
    </row>
    <row r="896">
      <c r="E896" s="13"/>
      <c r="H896" s="16"/>
      <c r="I896" s="16"/>
    </row>
    <row r="897">
      <c r="E897" s="13"/>
      <c r="H897" s="16"/>
      <c r="I897" s="16"/>
    </row>
    <row r="898">
      <c r="E898" s="13"/>
      <c r="H898" s="16"/>
      <c r="I898" s="16"/>
    </row>
    <row r="899">
      <c r="E899" s="13"/>
      <c r="H899" s="16"/>
      <c r="I899" s="16"/>
    </row>
    <row r="900">
      <c r="E900" s="13"/>
      <c r="H900" s="16"/>
      <c r="I900" s="16"/>
    </row>
    <row r="901">
      <c r="E901" s="13"/>
      <c r="H901" s="16"/>
      <c r="I901" s="16"/>
    </row>
    <row r="902">
      <c r="E902" s="13"/>
      <c r="H902" s="16"/>
      <c r="I902" s="16"/>
    </row>
    <row r="903">
      <c r="E903" s="13"/>
      <c r="H903" s="16"/>
      <c r="I903" s="16"/>
    </row>
    <row r="904">
      <c r="E904" s="13"/>
      <c r="H904" s="16"/>
      <c r="I904" s="16"/>
    </row>
    <row r="905">
      <c r="E905" s="13"/>
      <c r="H905" s="16"/>
      <c r="I905" s="16"/>
    </row>
    <row r="906">
      <c r="E906" s="13"/>
      <c r="H906" s="16"/>
      <c r="I906" s="16"/>
    </row>
    <row r="907">
      <c r="E907" s="13"/>
      <c r="H907" s="16"/>
      <c r="I907" s="16"/>
    </row>
    <row r="908">
      <c r="E908" s="13"/>
      <c r="H908" s="16"/>
      <c r="I908" s="16"/>
    </row>
    <row r="909">
      <c r="E909" s="13"/>
      <c r="H909" s="16"/>
      <c r="I909" s="16"/>
    </row>
    <row r="910">
      <c r="E910" s="13"/>
      <c r="H910" s="16"/>
      <c r="I910" s="16"/>
    </row>
    <row r="911">
      <c r="E911" s="13"/>
      <c r="H911" s="16"/>
      <c r="I911" s="16"/>
    </row>
    <row r="912">
      <c r="E912" s="13"/>
      <c r="H912" s="16"/>
      <c r="I912" s="16"/>
    </row>
    <row r="913">
      <c r="E913" s="13"/>
      <c r="H913" s="16"/>
      <c r="I913" s="16"/>
    </row>
    <row r="914">
      <c r="E914" s="13"/>
      <c r="H914" s="16"/>
      <c r="I914" s="16"/>
    </row>
    <row r="915">
      <c r="E915" s="13"/>
      <c r="H915" s="16"/>
      <c r="I915" s="16"/>
    </row>
    <row r="916">
      <c r="E916" s="13"/>
      <c r="H916" s="16"/>
      <c r="I916" s="16"/>
    </row>
    <row r="917">
      <c r="E917" s="13"/>
      <c r="H917" s="16"/>
      <c r="I917" s="16"/>
    </row>
    <row r="918">
      <c r="E918" s="13"/>
      <c r="H918" s="16"/>
      <c r="I918" s="16"/>
    </row>
    <row r="919">
      <c r="E919" s="13"/>
      <c r="H919" s="16"/>
      <c r="I919" s="16"/>
    </row>
    <row r="920">
      <c r="E920" s="13"/>
      <c r="H920" s="16"/>
      <c r="I920" s="16"/>
    </row>
    <row r="921">
      <c r="E921" s="13"/>
      <c r="H921" s="16"/>
      <c r="I921" s="16"/>
    </row>
    <row r="922">
      <c r="E922" s="13"/>
      <c r="H922" s="16"/>
      <c r="I922" s="16"/>
    </row>
    <row r="923">
      <c r="E923" s="13"/>
      <c r="H923" s="16"/>
      <c r="I923" s="16"/>
    </row>
    <row r="924">
      <c r="E924" s="13"/>
      <c r="H924" s="16"/>
      <c r="I924" s="16"/>
    </row>
    <row r="925">
      <c r="E925" s="13"/>
      <c r="H925" s="16"/>
      <c r="I925" s="16"/>
    </row>
    <row r="926">
      <c r="E926" s="13"/>
      <c r="H926" s="16"/>
      <c r="I926" s="16"/>
    </row>
    <row r="927">
      <c r="E927" s="13"/>
      <c r="H927" s="16"/>
      <c r="I927" s="16"/>
    </row>
    <row r="928">
      <c r="E928" s="13"/>
      <c r="H928" s="16"/>
      <c r="I928" s="16"/>
    </row>
    <row r="929">
      <c r="E929" s="13"/>
      <c r="H929" s="16"/>
      <c r="I929" s="16"/>
    </row>
    <row r="930">
      <c r="E930" s="13"/>
      <c r="H930" s="16"/>
      <c r="I930" s="16"/>
    </row>
    <row r="931">
      <c r="E931" s="13"/>
      <c r="H931" s="16"/>
      <c r="I931" s="16"/>
    </row>
    <row r="932">
      <c r="E932" s="13"/>
      <c r="H932" s="16"/>
      <c r="I932" s="16"/>
    </row>
    <row r="933">
      <c r="E933" s="13"/>
      <c r="H933" s="16"/>
      <c r="I933" s="16"/>
    </row>
    <row r="934">
      <c r="E934" s="13"/>
      <c r="H934" s="16"/>
      <c r="I934" s="16"/>
    </row>
    <row r="935">
      <c r="E935" s="13"/>
      <c r="H935" s="16"/>
      <c r="I935" s="16"/>
    </row>
    <row r="936">
      <c r="E936" s="13"/>
      <c r="H936" s="16"/>
      <c r="I936" s="16"/>
    </row>
    <row r="937">
      <c r="E937" s="13"/>
      <c r="H937" s="16"/>
      <c r="I937" s="16"/>
    </row>
    <row r="938">
      <c r="E938" s="13"/>
      <c r="H938" s="16"/>
      <c r="I938" s="16"/>
    </row>
    <row r="939">
      <c r="E939" s="13"/>
      <c r="H939" s="16"/>
      <c r="I939" s="16"/>
    </row>
    <row r="940">
      <c r="E940" s="13"/>
      <c r="H940" s="16"/>
      <c r="I940" s="16"/>
    </row>
    <row r="941">
      <c r="E941" s="13"/>
      <c r="H941" s="16"/>
      <c r="I941" s="16"/>
    </row>
    <row r="942">
      <c r="E942" s="13"/>
      <c r="H942" s="16"/>
      <c r="I942" s="16"/>
    </row>
    <row r="943">
      <c r="E943" s="13"/>
      <c r="H943" s="16"/>
      <c r="I943" s="16"/>
    </row>
    <row r="944">
      <c r="E944" s="13"/>
      <c r="H944" s="16"/>
      <c r="I944" s="16"/>
    </row>
    <row r="945">
      <c r="E945" s="13"/>
      <c r="H945" s="16"/>
      <c r="I945" s="16"/>
    </row>
    <row r="946">
      <c r="E946" s="13"/>
      <c r="H946" s="16"/>
      <c r="I946" s="16"/>
    </row>
    <row r="947">
      <c r="E947" s="13"/>
      <c r="H947" s="16"/>
      <c r="I947" s="16"/>
    </row>
    <row r="948">
      <c r="E948" s="13"/>
      <c r="H948" s="16"/>
      <c r="I948" s="16"/>
    </row>
    <row r="949">
      <c r="E949" s="13"/>
      <c r="H949" s="16"/>
      <c r="I949" s="16"/>
    </row>
    <row r="950">
      <c r="E950" s="13"/>
      <c r="H950" s="16"/>
      <c r="I950" s="16"/>
    </row>
    <row r="951">
      <c r="E951" s="13"/>
      <c r="H951" s="16"/>
      <c r="I951" s="16"/>
    </row>
    <row r="952">
      <c r="E952" s="13"/>
      <c r="H952" s="16"/>
      <c r="I952" s="16"/>
    </row>
    <row r="953">
      <c r="E953" s="13"/>
      <c r="H953" s="16"/>
      <c r="I953" s="16"/>
    </row>
    <row r="954">
      <c r="E954" s="13"/>
      <c r="H954" s="16"/>
      <c r="I954" s="16"/>
    </row>
    <row r="955">
      <c r="E955" s="13"/>
      <c r="H955" s="16"/>
      <c r="I955" s="16"/>
    </row>
    <row r="956">
      <c r="E956" s="13"/>
      <c r="H956" s="16"/>
      <c r="I956" s="16"/>
    </row>
    <row r="957">
      <c r="E957" s="13"/>
      <c r="H957" s="16"/>
      <c r="I957" s="16"/>
    </row>
    <row r="958">
      <c r="E958" s="13"/>
      <c r="H958" s="16"/>
      <c r="I958" s="16"/>
    </row>
    <row r="959">
      <c r="E959" s="13"/>
      <c r="H959" s="16"/>
      <c r="I959" s="16"/>
    </row>
    <row r="960">
      <c r="E960" s="13"/>
      <c r="H960" s="16"/>
      <c r="I960" s="16"/>
    </row>
    <row r="961">
      <c r="E961" s="13"/>
      <c r="H961" s="16"/>
      <c r="I961" s="16"/>
    </row>
    <row r="962">
      <c r="E962" s="13"/>
      <c r="H962" s="16"/>
      <c r="I962" s="16"/>
    </row>
    <row r="963">
      <c r="E963" s="13"/>
      <c r="H963" s="16"/>
      <c r="I963" s="16"/>
    </row>
    <row r="964">
      <c r="E964" s="13"/>
      <c r="H964" s="16"/>
      <c r="I964" s="16"/>
    </row>
    <row r="965">
      <c r="E965" s="13"/>
      <c r="H965" s="16"/>
      <c r="I965" s="16"/>
    </row>
    <row r="966">
      <c r="E966" s="13"/>
      <c r="H966" s="16"/>
      <c r="I966" s="16"/>
    </row>
    <row r="967">
      <c r="E967" s="13"/>
      <c r="H967" s="16"/>
      <c r="I967" s="16"/>
    </row>
    <row r="968">
      <c r="E968" s="13"/>
      <c r="H968" s="16"/>
      <c r="I968" s="16"/>
    </row>
    <row r="969">
      <c r="E969" s="13"/>
      <c r="H969" s="16"/>
      <c r="I969" s="16"/>
    </row>
    <row r="970">
      <c r="E970" s="13"/>
      <c r="H970" s="16"/>
      <c r="I970" s="16"/>
    </row>
    <row r="971">
      <c r="E971" s="13"/>
      <c r="H971" s="16"/>
      <c r="I971" s="16"/>
    </row>
    <row r="972">
      <c r="E972" s="13"/>
      <c r="H972" s="16"/>
      <c r="I972" s="16"/>
    </row>
    <row r="973">
      <c r="E973" s="13"/>
      <c r="H973" s="16"/>
      <c r="I973" s="16"/>
    </row>
    <row r="974">
      <c r="E974" s="13"/>
      <c r="H974" s="16"/>
      <c r="I974" s="16"/>
    </row>
    <row r="975">
      <c r="E975" s="13"/>
      <c r="H975" s="16"/>
      <c r="I975" s="16"/>
    </row>
    <row r="976">
      <c r="E976" s="13"/>
      <c r="H976" s="16"/>
      <c r="I976" s="16"/>
    </row>
    <row r="977">
      <c r="E977" s="13"/>
      <c r="H977" s="16"/>
      <c r="I977" s="16"/>
    </row>
    <row r="978">
      <c r="E978" s="13"/>
      <c r="H978" s="16"/>
      <c r="I978" s="16"/>
    </row>
    <row r="979">
      <c r="E979" s="13"/>
      <c r="H979" s="16"/>
      <c r="I979" s="16"/>
    </row>
    <row r="980">
      <c r="E980" s="13"/>
      <c r="H980" s="16"/>
      <c r="I980" s="16"/>
    </row>
    <row r="981">
      <c r="E981" s="13"/>
      <c r="H981" s="16"/>
      <c r="I981" s="16"/>
    </row>
    <row r="982">
      <c r="E982" s="13"/>
      <c r="H982" s="16"/>
      <c r="I982" s="16"/>
    </row>
    <row r="983">
      <c r="E983" s="13"/>
      <c r="H983" s="16"/>
      <c r="I983" s="16"/>
    </row>
    <row r="984">
      <c r="E984" s="13"/>
      <c r="H984" s="16"/>
      <c r="I984" s="16"/>
    </row>
    <row r="985">
      <c r="E985" s="13"/>
      <c r="H985" s="16"/>
      <c r="I985" s="16"/>
    </row>
    <row r="986">
      <c r="E986" s="13"/>
      <c r="H986" s="16"/>
      <c r="I986" s="16"/>
    </row>
    <row r="987">
      <c r="E987" s="13"/>
      <c r="H987" s="16"/>
      <c r="I987" s="16"/>
    </row>
    <row r="988">
      <c r="E988" s="13"/>
      <c r="H988" s="16"/>
      <c r="I988" s="16"/>
    </row>
    <row r="989">
      <c r="E989" s="13"/>
      <c r="H989" s="16"/>
      <c r="I989" s="16"/>
    </row>
    <row r="990">
      <c r="E990" s="13"/>
      <c r="H990" s="16"/>
      <c r="I990" s="16"/>
    </row>
    <row r="991">
      <c r="E991" s="13"/>
      <c r="H991" s="16"/>
      <c r="I991" s="16"/>
    </row>
    <row r="992">
      <c r="E992" s="13"/>
      <c r="H992" s="16"/>
      <c r="I992" s="16"/>
    </row>
    <row r="993">
      <c r="E993" s="13"/>
      <c r="H993" s="16"/>
      <c r="I993" s="16"/>
    </row>
    <row r="994">
      <c r="E994" s="13"/>
      <c r="H994" s="16"/>
      <c r="I994" s="16"/>
    </row>
    <row r="995">
      <c r="E995" s="13"/>
      <c r="H995" s="16"/>
      <c r="I995" s="16"/>
    </row>
    <row r="996">
      <c r="E996" s="13"/>
      <c r="H996" s="16"/>
      <c r="I996" s="16"/>
    </row>
    <row r="997">
      <c r="E997" s="13"/>
      <c r="H997" s="16"/>
      <c r="I997" s="16"/>
    </row>
    <row r="998">
      <c r="E998" s="13"/>
      <c r="H998" s="16"/>
      <c r="I998" s="16"/>
    </row>
    <row r="999">
      <c r="E999" s="13"/>
      <c r="H999" s="16"/>
      <c r="I999" s="16"/>
    </row>
    <row r="1000">
      <c r="E1000" s="13"/>
      <c r="H1000" s="16"/>
      <c r="I1000" s="16"/>
    </row>
    <row r="1001">
      <c r="E1001" s="13"/>
      <c r="H1001" s="16"/>
      <c r="I1001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K1" s="17" t="s">
        <v>0</v>
      </c>
      <c r="L1" s="17" t="s">
        <v>191</v>
      </c>
      <c r="M1" s="17" t="s">
        <v>192</v>
      </c>
      <c r="N1" s="17" t="s">
        <v>193</v>
      </c>
      <c r="O1" s="17" t="s">
        <v>4</v>
      </c>
    </row>
    <row r="2">
      <c r="A2" s="1" t="s">
        <v>50</v>
      </c>
      <c r="B2" s="1">
        <v>106.0</v>
      </c>
      <c r="C2" s="1">
        <v>908.0</v>
      </c>
      <c r="D2" s="1">
        <v>61.0</v>
      </c>
      <c r="E2" s="8">
        <v>0.00115094339622641</v>
      </c>
      <c r="F2" s="2">
        <v>44.0</v>
      </c>
      <c r="G2" s="2">
        <v>53.0</v>
      </c>
      <c r="H2" s="3">
        <v>20.5718679245283</v>
      </c>
      <c r="I2" s="3">
        <v>13.4406411677949</v>
      </c>
      <c r="K2" s="18" t="str">
        <f t="shared" ref="K2:L2" si="1">A2</f>
        <v>Jordan Hill</v>
      </c>
      <c r="L2" s="19">
        <f t="shared" si="1"/>
        <v>106</v>
      </c>
      <c r="M2" s="19">
        <f t="shared" ref="M2:M33" si="3">D2</f>
        <v>61</v>
      </c>
      <c r="N2" s="20">
        <f t="shared" ref="N2:N33" si="4">H2</f>
        <v>20.57186792</v>
      </c>
      <c r="O2" s="21">
        <f t="shared" ref="O2:O33" si="5">E2</f>
        <v>0.001150943396</v>
      </c>
    </row>
    <row r="3">
      <c r="A3" s="1" t="s">
        <v>141</v>
      </c>
      <c r="B3" s="1">
        <v>88.0</v>
      </c>
      <c r="C3" s="1">
        <v>876.0</v>
      </c>
      <c r="D3" s="1">
        <v>39.0</v>
      </c>
      <c r="E3" s="8">
        <v>0.0046590909090909</v>
      </c>
      <c r="F3" s="2">
        <v>28.0</v>
      </c>
      <c r="G3" s="2">
        <v>35.0</v>
      </c>
      <c r="H3" s="3">
        <v>13.449659090909</v>
      </c>
      <c r="I3" s="3">
        <v>8.59711433469283</v>
      </c>
      <c r="K3" s="18" t="str">
        <f t="shared" ref="K3:L3" si="2">A3</f>
        <v>Ersan Ilyasova</v>
      </c>
      <c r="L3" s="19">
        <f t="shared" si="2"/>
        <v>88</v>
      </c>
      <c r="M3" s="19">
        <f t="shared" si="3"/>
        <v>39</v>
      </c>
      <c r="N3" s="20">
        <f t="shared" si="4"/>
        <v>13.44965909</v>
      </c>
      <c r="O3" s="21">
        <f t="shared" si="5"/>
        <v>0.004659090909</v>
      </c>
    </row>
    <row r="4">
      <c r="A4" s="1" t="s">
        <v>93</v>
      </c>
      <c r="B4" s="1">
        <v>59.0</v>
      </c>
      <c r="C4" s="1">
        <v>844.0</v>
      </c>
      <c r="D4" s="1">
        <v>32.0</v>
      </c>
      <c r="E4" s="8">
        <v>0.00789830508474576</v>
      </c>
      <c r="F4" s="2">
        <v>25.0</v>
      </c>
      <c r="G4" s="2">
        <v>31.0</v>
      </c>
      <c r="H4" s="3">
        <v>11.1212542372881</v>
      </c>
      <c r="I4" s="3">
        <v>7.96638972223615</v>
      </c>
      <c r="K4" s="18" t="str">
        <f t="shared" ref="K4:L4" si="6">A4</f>
        <v>Kemba Walker</v>
      </c>
      <c r="L4" s="19">
        <f t="shared" si="6"/>
        <v>59</v>
      </c>
      <c r="M4" s="19">
        <f t="shared" si="3"/>
        <v>32</v>
      </c>
      <c r="N4" s="20">
        <f t="shared" si="4"/>
        <v>11.12125424</v>
      </c>
      <c r="O4" s="21">
        <f t="shared" si="5"/>
        <v>0.007898305085</v>
      </c>
    </row>
    <row r="5">
      <c r="A5" s="1" t="s">
        <v>22</v>
      </c>
      <c r="B5" s="1">
        <v>140.0</v>
      </c>
      <c r="C5" s="1">
        <v>1033.0</v>
      </c>
      <c r="D5" s="1">
        <v>53.0</v>
      </c>
      <c r="E5" s="8">
        <v>0.00832857142857142</v>
      </c>
      <c r="F5" s="2">
        <v>44.0</v>
      </c>
      <c r="G5" s="2">
        <v>52.0</v>
      </c>
      <c r="H5" s="3">
        <v>22.4887428571428</v>
      </c>
      <c r="I5" s="3">
        <v>13.1631526452612</v>
      </c>
      <c r="K5" s="18" t="str">
        <f t="shared" ref="K5:L5" si="7">A5</f>
        <v>Tristan Thompson</v>
      </c>
      <c r="L5" s="19">
        <f t="shared" si="7"/>
        <v>140</v>
      </c>
      <c r="M5" s="19">
        <f t="shared" si="3"/>
        <v>53</v>
      </c>
      <c r="N5" s="20">
        <f t="shared" si="4"/>
        <v>22.48874286</v>
      </c>
      <c r="O5" s="21">
        <f t="shared" si="5"/>
        <v>0.008328571429</v>
      </c>
    </row>
    <row r="6">
      <c r="A6" s="1" t="s">
        <v>112</v>
      </c>
      <c r="B6" s="1">
        <v>124.0</v>
      </c>
      <c r="C6" s="1">
        <v>890.0</v>
      </c>
      <c r="D6" s="1">
        <v>20.0</v>
      </c>
      <c r="E6" s="8">
        <v>0.0105806451612903</v>
      </c>
      <c r="F6" s="2">
        <v>15.0</v>
      </c>
      <c r="G6" s="2">
        <v>20.0</v>
      </c>
      <c r="H6" s="3">
        <v>6.49066129032258</v>
      </c>
      <c r="I6" s="3">
        <v>4.9227460748584</v>
      </c>
      <c r="K6" s="18" t="str">
        <f t="shared" ref="K6:L6" si="8">A6</f>
        <v>Jose Juan Barea</v>
      </c>
      <c r="L6" s="19">
        <f t="shared" si="8"/>
        <v>124</v>
      </c>
      <c r="M6" s="19">
        <f t="shared" si="3"/>
        <v>20</v>
      </c>
      <c r="N6" s="20">
        <f t="shared" si="4"/>
        <v>6.49066129</v>
      </c>
      <c r="O6" s="21">
        <f t="shared" si="5"/>
        <v>0.01058064516</v>
      </c>
    </row>
    <row r="7">
      <c r="A7" s="1" t="s">
        <v>14</v>
      </c>
      <c r="B7" s="1">
        <v>124.0</v>
      </c>
      <c r="C7" s="1">
        <v>1096.0</v>
      </c>
      <c r="D7" s="1">
        <v>31.0</v>
      </c>
      <c r="E7" s="8">
        <v>0.0114354838709677</v>
      </c>
      <c r="F7" s="2">
        <v>25.0</v>
      </c>
      <c r="G7" s="2">
        <v>31.0</v>
      </c>
      <c r="H7" s="3">
        <v>10.3040806451612</v>
      </c>
      <c r="I7" s="3">
        <v>7.75625259491186</v>
      </c>
      <c r="K7" s="18" t="str">
        <f t="shared" ref="K7:L7" si="9">A7</f>
        <v>Ben McLemore</v>
      </c>
      <c r="L7" s="19">
        <f t="shared" si="9"/>
        <v>124</v>
      </c>
      <c r="M7" s="19">
        <f t="shared" si="3"/>
        <v>31</v>
      </c>
      <c r="N7" s="20">
        <f t="shared" si="4"/>
        <v>10.30408065</v>
      </c>
      <c r="O7" s="21">
        <f t="shared" si="5"/>
        <v>0.01143548387</v>
      </c>
    </row>
    <row r="8">
      <c r="A8" s="1" t="s">
        <v>26</v>
      </c>
      <c r="B8" s="1">
        <v>98.0</v>
      </c>
      <c r="C8" s="1">
        <v>888.0</v>
      </c>
      <c r="D8" s="1">
        <v>26.0</v>
      </c>
      <c r="E8" s="8">
        <v>0.0121836734693877</v>
      </c>
      <c r="F8" s="2">
        <v>21.0</v>
      </c>
      <c r="G8" s="2">
        <v>26.0</v>
      </c>
      <c r="H8" s="3">
        <v>9.01438775510204</v>
      </c>
      <c r="I8" s="3">
        <v>6.4774473062116</v>
      </c>
      <c r="K8" s="18" t="str">
        <f t="shared" ref="K8:L8" si="10">A8</f>
        <v>Aaron Brooks</v>
      </c>
      <c r="L8" s="19">
        <f t="shared" si="10"/>
        <v>98</v>
      </c>
      <c r="M8" s="19">
        <f t="shared" si="3"/>
        <v>26</v>
      </c>
      <c r="N8" s="20">
        <f t="shared" si="4"/>
        <v>9.014387755</v>
      </c>
      <c r="O8" s="21">
        <f t="shared" si="5"/>
        <v>0.01218367347</v>
      </c>
    </row>
    <row r="9">
      <c r="A9" s="1" t="s">
        <v>138</v>
      </c>
      <c r="B9" s="1">
        <v>64.0</v>
      </c>
      <c r="C9" s="1">
        <v>1189.0</v>
      </c>
      <c r="D9" s="1">
        <v>87.0</v>
      </c>
      <c r="E9" s="8">
        <v>0.0123125</v>
      </c>
      <c r="F9" s="2">
        <v>74.0</v>
      </c>
      <c r="G9" s="2">
        <v>88.0</v>
      </c>
      <c r="H9" s="3">
        <v>36.96728125</v>
      </c>
      <c r="I9" s="3">
        <v>22.3134073649319</v>
      </c>
      <c r="K9" s="18" t="str">
        <f t="shared" ref="K9:L9" si="11">A9</f>
        <v>Kevin Durant</v>
      </c>
      <c r="L9" s="19">
        <f t="shared" si="11"/>
        <v>64</v>
      </c>
      <c r="M9" s="19">
        <f t="shared" si="3"/>
        <v>87</v>
      </c>
      <c r="N9" s="20">
        <f t="shared" si="4"/>
        <v>36.96728125</v>
      </c>
      <c r="O9" s="21">
        <f t="shared" si="5"/>
        <v>0.0123125</v>
      </c>
    </row>
    <row r="10">
      <c r="A10" s="1" t="s">
        <v>76</v>
      </c>
      <c r="B10" s="1">
        <v>137.0</v>
      </c>
      <c r="C10" s="1">
        <v>1344.0</v>
      </c>
      <c r="D10" s="1">
        <v>99.0</v>
      </c>
      <c r="E10" s="8">
        <v>0.012992700729927</v>
      </c>
      <c r="F10" s="2">
        <v>87.0</v>
      </c>
      <c r="G10" s="2">
        <v>100.009999999994</v>
      </c>
      <c r="H10" s="3">
        <v>41.0268467153284</v>
      </c>
      <c r="I10" s="3">
        <v>26.4436549117797</v>
      </c>
      <c r="K10" s="18" t="str">
        <f t="shared" ref="K10:L10" si="12">A10</f>
        <v>Marcin Gortat</v>
      </c>
      <c r="L10" s="19">
        <f t="shared" si="12"/>
        <v>137</v>
      </c>
      <c r="M10" s="19">
        <f t="shared" si="3"/>
        <v>99</v>
      </c>
      <c r="N10" s="20">
        <f t="shared" si="4"/>
        <v>41.02684672</v>
      </c>
      <c r="O10" s="21">
        <f t="shared" si="5"/>
        <v>0.01299270073</v>
      </c>
    </row>
    <row r="11">
      <c r="A11" s="1" t="s">
        <v>18</v>
      </c>
      <c r="B11" s="1">
        <v>97.0</v>
      </c>
      <c r="C11" s="1">
        <v>839.0</v>
      </c>
      <c r="D11" s="1">
        <v>26.0</v>
      </c>
      <c r="E11" s="8">
        <v>0.0136288659793814</v>
      </c>
      <c r="F11" s="2">
        <v>21.0</v>
      </c>
      <c r="G11" s="2">
        <v>27.0</v>
      </c>
      <c r="H11" s="3">
        <v>9.68043298969072</v>
      </c>
      <c r="I11" s="3">
        <v>6.5412348386663</v>
      </c>
      <c r="K11" s="18" t="str">
        <f t="shared" ref="K11:L11" si="13">A11</f>
        <v>Jeremy Lin</v>
      </c>
      <c r="L11" s="19">
        <f t="shared" si="13"/>
        <v>97</v>
      </c>
      <c r="M11" s="19">
        <f t="shared" si="3"/>
        <v>26</v>
      </c>
      <c r="N11" s="20">
        <f t="shared" si="4"/>
        <v>9.68043299</v>
      </c>
      <c r="O11" s="21">
        <f t="shared" si="5"/>
        <v>0.01362886598</v>
      </c>
    </row>
    <row r="12">
      <c r="A12" s="1" t="s">
        <v>16</v>
      </c>
      <c r="B12" s="1">
        <v>117.0</v>
      </c>
      <c r="C12" s="1">
        <v>766.0</v>
      </c>
      <c r="D12" s="1">
        <v>35.0</v>
      </c>
      <c r="E12" s="8">
        <v>0.0137435897435897</v>
      </c>
      <c r="F12" s="2">
        <v>29.0</v>
      </c>
      <c r="G12" s="2">
        <v>36.0</v>
      </c>
      <c r="H12" s="3">
        <v>11.3742735042735</v>
      </c>
      <c r="I12" s="3">
        <v>9.34470212502984</v>
      </c>
      <c r="K12" s="18" t="str">
        <f t="shared" ref="K12:L12" si="14">A12</f>
        <v>Marreese Speights</v>
      </c>
      <c r="L12" s="19">
        <f t="shared" si="14"/>
        <v>117</v>
      </c>
      <c r="M12" s="19">
        <f t="shared" si="3"/>
        <v>35</v>
      </c>
      <c r="N12" s="20">
        <f t="shared" si="4"/>
        <v>11.3742735</v>
      </c>
      <c r="O12" s="21">
        <f t="shared" si="5"/>
        <v>0.01374358974</v>
      </c>
    </row>
    <row r="13">
      <c r="A13" s="1" t="s">
        <v>85</v>
      </c>
      <c r="B13" s="1">
        <v>109.0</v>
      </c>
      <c r="C13" s="1">
        <v>1642.0</v>
      </c>
      <c r="D13" s="1">
        <v>71.0</v>
      </c>
      <c r="E13" s="8">
        <v>0.0165504587155963</v>
      </c>
      <c r="F13" s="2">
        <v>62.0</v>
      </c>
      <c r="G13" s="2">
        <v>74.0</v>
      </c>
      <c r="H13" s="3">
        <v>29.5317614678899</v>
      </c>
      <c r="I13" s="3">
        <v>19.3396365443581</v>
      </c>
      <c r="K13" s="18" t="str">
        <f t="shared" ref="K13:L13" si="15">A13</f>
        <v>Monta Ellis</v>
      </c>
      <c r="L13" s="19">
        <f t="shared" si="15"/>
        <v>109</v>
      </c>
      <c r="M13" s="19">
        <f t="shared" si="3"/>
        <v>71</v>
      </c>
      <c r="N13" s="20">
        <f t="shared" si="4"/>
        <v>29.53176147</v>
      </c>
      <c r="O13" s="21">
        <f t="shared" si="5"/>
        <v>0.01655045872</v>
      </c>
    </row>
    <row r="14">
      <c r="A14" s="1" t="s">
        <v>65</v>
      </c>
      <c r="B14" s="1">
        <v>141.0</v>
      </c>
      <c r="C14" s="1">
        <v>1140.0</v>
      </c>
      <c r="D14" s="1">
        <v>74.0</v>
      </c>
      <c r="E14" s="8">
        <v>0.0175177304964539</v>
      </c>
      <c r="F14" s="2">
        <v>65.0</v>
      </c>
      <c r="G14" s="2">
        <v>77.0</v>
      </c>
      <c r="H14" s="3">
        <v>30.0893617021276</v>
      </c>
      <c r="I14" s="3">
        <v>19.5504733291548</v>
      </c>
      <c r="K14" s="18" t="str">
        <f t="shared" ref="K14:L14" si="16">A14</f>
        <v>Jonas Valanciunas</v>
      </c>
      <c r="L14" s="19">
        <f t="shared" si="16"/>
        <v>141</v>
      </c>
      <c r="M14" s="19">
        <f t="shared" si="3"/>
        <v>74</v>
      </c>
      <c r="N14" s="20">
        <f t="shared" si="4"/>
        <v>30.0893617</v>
      </c>
      <c r="O14" s="21">
        <f t="shared" si="5"/>
        <v>0.0175177305</v>
      </c>
    </row>
    <row r="15">
      <c r="A15" s="1" t="s">
        <v>107</v>
      </c>
      <c r="B15" s="1">
        <v>108.0</v>
      </c>
      <c r="C15" s="1">
        <v>1378.0</v>
      </c>
      <c r="D15" s="1">
        <v>76.0</v>
      </c>
      <c r="E15" s="8">
        <v>0.0190185185185185</v>
      </c>
      <c r="F15" s="2">
        <v>68.0</v>
      </c>
      <c r="G15" s="2">
        <v>79.0</v>
      </c>
      <c r="H15" s="3">
        <v>35.6004259259259</v>
      </c>
      <c r="I15" s="3">
        <v>20.449152563354</v>
      </c>
      <c r="K15" s="18" t="str">
        <f t="shared" ref="K15:L15" si="17">A15</f>
        <v>Tony Parker</v>
      </c>
      <c r="L15" s="19">
        <f t="shared" si="17"/>
        <v>108</v>
      </c>
      <c r="M15" s="19">
        <f t="shared" si="3"/>
        <v>76</v>
      </c>
      <c r="N15" s="20">
        <f t="shared" si="4"/>
        <v>35.60042593</v>
      </c>
      <c r="O15" s="21">
        <f t="shared" si="5"/>
        <v>0.01901851852</v>
      </c>
    </row>
    <row r="16">
      <c r="A16" s="1" t="s">
        <v>42</v>
      </c>
      <c r="B16" s="1">
        <v>134.0</v>
      </c>
      <c r="C16" s="1">
        <v>983.0</v>
      </c>
      <c r="D16" s="1">
        <v>43.0</v>
      </c>
      <c r="E16" s="8">
        <v>0.0192835820895522</v>
      </c>
      <c r="F16" s="2">
        <v>38.0</v>
      </c>
      <c r="G16" s="2">
        <v>45.0</v>
      </c>
      <c r="H16" s="3">
        <v>17.1663731343283</v>
      </c>
      <c r="I16" s="3">
        <v>11.5056770145117</v>
      </c>
      <c r="K16" s="18" t="str">
        <f t="shared" ref="K16:L16" si="18">A16</f>
        <v>Boris Diaw</v>
      </c>
      <c r="L16" s="19">
        <f t="shared" si="18"/>
        <v>134</v>
      </c>
      <c r="M16" s="19">
        <f t="shared" si="3"/>
        <v>43</v>
      </c>
      <c r="N16" s="20">
        <f t="shared" si="4"/>
        <v>17.16637313</v>
      </c>
      <c r="O16" s="21">
        <f t="shared" si="5"/>
        <v>0.01928358209</v>
      </c>
    </row>
    <row r="17">
      <c r="A17" s="1" t="s">
        <v>52</v>
      </c>
      <c r="B17" s="1">
        <v>98.0</v>
      </c>
      <c r="C17" s="1">
        <v>1080.0</v>
      </c>
      <c r="D17" s="1">
        <v>32.0</v>
      </c>
      <c r="E17" s="8">
        <v>0.0208775510204081</v>
      </c>
      <c r="F17" s="2">
        <v>28.0</v>
      </c>
      <c r="G17" s="2">
        <v>34.0</v>
      </c>
      <c r="H17" s="3">
        <v>12.3032857142857</v>
      </c>
      <c r="I17" s="3">
        <v>8.55751712870989</v>
      </c>
      <c r="K17" s="18" t="str">
        <f t="shared" ref="K17:L17" si="19">A17</f>
        <v>Deron Williams</v>
      </c>
      <c r="L17" s="19">
        <f t="shared" si="19"/>
        <v>98</v>
      </c>
      <c r="M17" s="19">
        <f t="shared" si="3"/>
        <v>32</v>
      </c>
      <c r="N17" s="20">
        <f t="shared" si="4"/>
        <v>12.30328571</v>
      </c>
      <c r="O17" s="21">
        <f t="shared" si="5"/>
        <v>0.02087755102</v>
      </c>
    </row>
    <row r="18">
      <c r="A18" s="1" t="s">
        <v>38</v>
      </c>
      <c r="B18" s="1">
        <v>91.0</v>
      </c>
      <c r="C18" s="1">
        <v>869.0</v>
      </c>
      <c r="D18" s="1">
        <v>26.0</v>
      </c>
      <c r="E18" s="8">
        <v>0.021032967032967</v>
      </c>
      <c r="F18" s="2">
        <v>22.0</v>
      </c>
      <c r="G18" s="2">
        <v>29.0</v>
      </c>
      <c r="H18" s="3">
        <v>9.26760439560439</v>
      </c>
      <c r="I18" s="3">
        <v>6.95770211037264</v>
      </c>
      <c r="K18" s="18" t="str">
        <f t="shared" ref="K18:L18" si="20">A18</f>
        <v>CJ Miles</v>
      </c>
      <c r="L18" s="19">
        <f t="shared" si="20"/>
        <v>91</v>
      </c>
      <c r="M18" s="19">
        <f t="shared" si="3"/>
        <v>26</v>
      </c>
      <c r="N18" s="20">
        <f t="shared" si="4"/>
        <v>9.267604396</v>
      </c>
      <c r="O18" s="21">
        <f t="shared" si="5"/>
        <v>0.02103296703</v>
      </c>
    </row>
    <row r="19">
      <c r="A19" s="1" t="s">
        <v>54</v>
      </c>
      <c r="B19" s="1">
        <v>127.0</v>
      </c>
      <c r="C19" s="1">
        <v>1219.0</v>
      </c>
      <c r="D19" s="1">
        <v>77.0</v>
      </c>
      <c r="E19" s="8">
        <v>0.0269763779527559</v>
      </c>
      <c r="F19" s="2">
        <v>72.0</v>
      </c>
      <c r="G19" s="2">
        <v>83.0</v>
      </c>
      <c r="H19" s="3">
        <v>36.1562362204724</v>
      </c>
      <c r="I19" s="3">
        <v>21.0212359745319</v>
      </c>
      <c r="K19" s="18" t="str">
        <f t="shared" ref="K19:L19" si="21">A19</f>
        <v>Kenneth Faried</v>
      </c>
      <c r="L19" s="19">
        <f t="shared" si="21"/>
        <v>127</v>
      </c>
      <c r="M19" s="19">
        <f t="shared" si="3"/>
        <v>77</v>
      </c>
      <c r="N19" s="20">
        <f t="shared" si="4"/>
        <v>36.15623622</v>
      </c>
      <c r="O19" s="21">
        <f t="shared" si="5"/>
        <v>0.02697637795</v>
      </c>
    </row>
    <row r="20">
      <c r="A20" s="1" t="s">
        <v>30</v>
      </c>
      <c r="B20" s="1">
        <v>100.0</v>
      </c>
      <c r="C20" s="1">
        <v>1547.0</v>
      </c>
      <c r="D20" s="1">
        <v>71.0</v>
      </c>
      <c r="E20" s="8">
        <v>0.02756</v>
      </c>
      <c r="F20" s="2">
        <v>66.0</v>
      </c>
      <c r="G20" s="2">
        <v>78.0</v>
      </c>
      <c r="H20" s="3">
        <v>33.63376</v>
      </c>
      <c r="I20" s="3">
        <v>20.1524189183928</v>
      </c>
      <c r="K20" s="18" t="str">
        <f t="shared" ref="K20:L20" si="22">A20</f>
        <v>Rudy Gay</v>
      </c>
      <c r="L20" s="19">
        <f t="shared" si="22"/>
        <v>100</v>
      </c>
      <c r="M20" s="19">
        <f t="shared" si="3"/>
        <v>71</v>
      </c>
      <c r="N20" s="20">
        <f t="shared" si="4"/>
        <v>33.63376</v>
      </c>
      <c r="O20" s="21">
        <f t="shared" si="5"/>
        <v>0.02756</v>
      </c>
    </row>
    <row r="21">
      <c r="A21" s="1" t="s">
        <v>46</v>
      </c>
      <c r="B21" s="1">
        <v>143.0</v>
      </c>
      <c r="C21" s="1">
        <v>917.0</v>
      </c>
      <c r="D21" s="1">
        <v>51.0</v>
      </c>
      <c r="E21" s="8">
        <v>0.0282097902097902</v>
      </c>
      <c r="F21" s="2">
        <v>47.0</v>
      </c>
      <c r="G21" s="2">
        <v>56.0</v>
      </c>
      <c r="H21" s="3">
        <v>22.0184335664335</v>
      </c>
      <c r="I21" s="3">
        <v>14.1144848004682</v>
      </c>
      <c r="K21" s="18" t="str">
        <f t="shared" ref="K21:L21" si="23">A21</f>
        <v>Timofey Mozgov</v>
      </c>
      <c r="L21" s="19">
        <f t="shared" si="23"/>
        <v>143</v>
      </c>
      <c r="M21" s="19">
        <f t="shared" si="3"/>
        <v>51</v>
      </c>
      <c r="N21" s="20">
        <f t="shared" si="4"/>
        <v>22.01843357</v>
      </c>
      <c r="O21" s="21">
        <f t="shared" si="5"/>
        <v>0.02820979021</v>
      </c>
    </row>
    <row r="22">
      <c r="A22" s="1" t="s">
        <v>109</v>
      </c>
      <c r="B22" s="1">
        <v>124.0</v>
      </c>
      <c r="C22" s="1">
        <v>1258.0</v>
      </c>
      <c r="D22" s="1">
        <v>47.0</v>
      </c>
      <c r="E22" s="8">
        <v>0.0283870967741935</v>
      </c>
      <c r="F22" s="2">
        <v>44.0</v>
      </c>
      <c r="G22" s="2">
        <v>52.0</v>
      </c>
      <c r="H22" s="3">
        <v>20.8787096774193</v>
      </c>
      <c r="I22" s="3">
        <v>13.0176963280722</v>
      </c>
      <c r="K22" s="18" t="str">
        <f t="shared" ref="K22:L22" si="24">A22</f>
        <v>Khris Middleton</v>
      </c>
      <c r="L22" s="19">
        <f t="shared" si="24"/>
        <v>124</v>
      </c>
      <c r="M22" s="19">
        <f t="shared" si="3"/>
        <v>47</v>
      </c>
      <c r="N22" s="20">
        <f t="shared" si="4"/>
        <v>20.87870968</v>
      </c>
      <c r="O22" s="21">
        <f t="shared" si="5"/>
        <v>0.02838709677</v>
      </c>
    </row>
    <row r="23">
      <c r="A23" s="1" t="s">
        <v>84</v>
      </c>
      <c r="B23" s="1">
        <v>124.0</v>
      </c>
      <c r="C23" s="1">
        <v>1324.0</v>
      </c>
      <c r="D23" s="1">
        <v>61.0</v>
      </c>
      <c r="E23" s="8">
        <v>0.0292258064516129</v>
      </c>
      <c r="F23" s="2">
        <v>56.0</v>
      </c>
      <c r="G23" s="2">
        <v>67.0</v>
      </c>
      <c r="H23" s="3">
        <v>26.8257741935483</v>
      </c>
      <c r="I23" s="3">
        <v>17.3537195105901</v>
      </c>
      <c r="K23" s="22" t="str">
        <f t="shared" ref="K23:L23" si="25">A23</f>
        <v>David West</v>
      </c>
      <c r="L23" s="23">
        <f t="shared" si="25"/>
        <v>124</v>
      </c>
      <c r="M23" s="23">
        <f t="shared" si="3"/>
        <v>61</v>
      </c>
      <c r="N23" s="24">
        <f t="shared" si="4"/>
        <v>26.82577419</v>
      </c>
      <c r="O23" s="25">
        <f t="shared" si="5"/>
        <v>0.02922580645</v>
      </c>
    </row>
    <row r="24">
      <c r="A24" s="1" t="s">
        <v>67</v>
      </c>
      <c r="B24" s="1">
        <v>111.0</v>
      </c>
      <c r="C24" s="1">
        <v>864.0</v>
      </c>
      <c r="D24" s="1">
        <v>24.0</v>
      </c>
      <c r="E24" s="8">
        <v>0.0302342342342342</v>
      </c>
      <c r="F24" s="2">
        <v>21.0</v>
      </c>
      <c r="G24" s="2">
        <v>28.0</v>
      </c>
      <c r="H24" s="3">
        <v>8.75225225225225</v>
      </c>
      <c r="I24" s="3">
        <v>6.78024351587514</v>
      </c>
      <c r="K24" s="22" t="str">
        <f t="shared" ref="K24:L24" si="26">A24</f>
        <v>Danny Green</v>
      </c>
      <c r="L24" s="23">
        <f t="shared" si="26"/>
        <v>111</v>
      </c>
      <c r="M24" s="23">
        <f t="shared" si="3"/>
        <v>24</v>
      </c>
      <c r="N24" s="24">
        <f t="shared" si="4"/>
        <v>8.752252252</v>
      </c>
      <c r="O24" s="25">
        <f t="shared" si="5"/>
        <v>0.03023423423</v>
      </c>
    </row>
    <row r="25">
      <c r="A25" s="1" t="s">
        <v>72</v>
      </c>
      <c r="B25" s="1">
        <v>104.0</v>
      </c>
      <c r="C25" s="1">
        <v>1419.0</v>
      </c>
      <c r="D25" s="1">
        <v>74.0</v>
      </c>
      <c r="E25" s="8">
        <v>0.0305384615384615</v>
      </c>
      <c r="F25" s="2">
        <v>69.0</v>
      </c>
      <c r="G25" s="2">
        <v>82.0</v>
      </c>
      <c r="H25" s="3">
        <v>32.5873653846153</v>
      </c>
      <c r="I25" s="3">
        <v>21.1304952338565</v>
      </c>
      <c r="K25" s="22" t="str">
        <f t="shared" ref="K25:L25" si="27">A25</f>
        <v>Chris Bosh</v>
      </c>
      <c r="L25" s="23">
        <f t="shared" si="27"/>
        <v>104</v>
      </c>
      <c r="M25" s="23">
        <f t="shared" si="3"/>
        <v>74</v>
      </c>
      <c r="N25" s="24">
        <f t="shared" si="4"/>
        <v>32.58736538</v>
      </c>
      <c r="O25" s="25">
        <f t="shared" si="5"/>
        <v>0.03053846154</v>
      </c>
    </row>
    <row r="26">
      <c r="A26" s="1" t="s">
        <v>66</v>
      </c>
      <c r="B26" s="1">
        <v>136.0</v>
      </c>
      <c r="C26" s="1">
        <v>1539.0</v>
      </c>
      <c r="D26" s="1">
        <v>80.0</v>
      </c>
      <c r="E26" s="8">
        <v>0.0337058823529411</v>
      </c>
      <c r="F26" s="2">
        <v>76.0</v>
      </c>
      <c r="G26" s="2">
        <v>88.0</v>
      </c>
      <c r="H26" s="3">
        <v>34.5238676470588</v>
      </c>
      <c r="I26" s="3">
        <v>23.8726354735515</v>
      </c>
      <c r="K26" s="22" t="str">
        <f t="shared" ref="K26:L26" si="28">A26</f>
        <v>Enes Kanter</v>
      </c>
      <c r="L26" s="23">
        <f t="shared" si="28"/>
        <v>136</v>
      </c>
      <c r="M26" s="23">
        <f t="shared" si="3"/>
        <v>80</v>
      </c>
      <c r="N26" s="24">
        <f t="shared" si="4"/>
        <v>34.52386765</v>
      </c>
      <c r="O26" s="25">
        <f t="shared" si="5"/>
        <v>0.03370588235</v>
      </c>
    </row>
    <row r="27">
      <c r="A27" s="1" t="s">
        <v>24</v>
      </c>
      <c r="B27" s="1">
        <v>114.0</v>
      </c>
      <c r="C27" s="1">
        <v>1316.0</v>
      </c>
      <c r="D27" s="1">
        <v>53.0</v>
      </c>
      <c r="E27" s="8">
        <v>0.0347719298245614</v>
      </c>
      <c r="F27" s="2">
        <v>50.0</v>
      </c>
      <c r="G27" s="2">
        <v>59.0</v>
      </c>
      <c r="H27" s="3">
        <v>22.3579649122807</v>
      </c>
      <c r="I27" s="3">
        <v>15.7267846637009</v>
      </c>
      <c r="K27" s="22" t="str">
        <f t="shared" ref="K27:L27" si="29">A27</f>
        <v>Markieff Morris</v>
      </c>
      <c r="L27" s="23">
        <f t="shared" si="29"/>
        <v>114</v>
      </c>
      <c r="M27" s="23">
        <f t="shared" si="3"/>
        <v>53</v>
      </c>
      <c r="N27" s="24">
        <f t="shared" si="4"/>
        <v>22.35796491</v>
      </c>
      <c r="O27" s="25">
        <f t="shared" si="5"/>
        <v>0.03477192982</v>
      </c>
    </row>
    <row r="28">
      <c r="A28" s="1" t="s">
        <v>62</v>
      </c>
      <c r="B28" s="1">
        <v>118.0</v>
      </c>
      <c r="C28" s="1">
        <v>1493.0</v>
      </c>
      <c r="D28" s="1">
        <v>64.0</v>
      </c>
      <c r="E28" s="8">
        <v>0.0375423728813559</v>
      </c>
      <c r="F28" s="2">
        <v>61.0</v>
      </c>
      <c r="G28" s="2">
        <v>73.0</v>
      </c>
      <c r="H28" s="3">
        <v>30.547220338983</v>
      </c>
      <c r="I28" s="3">
        <v>18.5008824545079</v>
      </c>
      <c r="K28" s="22" t="str">
        <f t="shared" ref="K28:L28" si="30">A28</f>
        <v>Chandler Parsons</v>
      </c>
      <c r="L28" s="23">
        <f t="shared" si="30"/>
        <v>118</v>
      </c>
      <c r="M28" s="23">
        <f t="shared" si="3"/>
        <v>64</v>
      </c>
      <c r="N28" s="24">
        <f t="shared" si="4"/>
        <v>30.54722034</v>
      </c>
      <c r="O28" s="25">
        <f t="shared" si="5"/>
        <v>0.03754237288</v>
      </c>
    </row>
    <row r="29">
      <c r="A29" s="1" t="s">
        <v>20</v>
      </c>
      <c r="B29" s="1">
        <v>114.0</v>
      </c>
      <c r="C29" s="1">
        <v>1004.0</v>
      </c>
      <c r="D29" s="1">
        <v>39.0</v>
      </c>
      <c r="E29" s="8">
        <v>0.0388771929824561</v>
      </c>
      <c r="F29" s="2">
        <v>37.0</v>
      </c>
      <c r="G29" s="2">
        <v>45.0</v>
      </c>
      <c r="H29" s="3">
        <v>17.7958771929824</v>
      </c>
      <c r="I29" s="3">
        <v>11.2023259106972</v>
      </c>
      <c r="K29" s="22" t="str">
        <f t="shared" ref="K29:L29" si="31">A29</f>
        <v>DeMarre Carroll</v>
      </c>
      <c r="L29" s="23">
        <f t="shared" si="31"/>
        <v>114</v>
      </c>
      <c r="M29" s="23">
        <f t="shared" si="3"/>
        <v>39</v>
      </c>
      <c r="N29" s="24">
        <f t="shared" si="4"/>
        <v>17.79587719</v>
      </c>
      <c r="O29" s="25">
        <f t="shared" si="5"/>
        <v>0.03887719298</v>
      </c>
    </row>
    <row r="30">
      <c r="A30" s="1" t="s">
        <v>160</v>
      </c>
      <c r="B30" s="1">
        <v>121.0</v>
      </c>
      <c r="C30" s="1">
        <v>991.0</v>
      </c>
      <c r="D30" s="1">
        <v>28.0</v>
      </c>
      <c r="E30" s="8">
        <v>0.0396859504132231</v>
      </c>
      <c r="F30" s="2">
        <v>26.0</v>
      </c>
      <c r="G30" s="2">
        <v>34.0</v>
      </c>
      <c r="H30" s="3">
        <v>11.4837024793388</v>
      </c>
      <c r="I30" s="3">
        <v>8.23729367681479</v>
      </c>
      <c r="K30" s="22" t="str">
        <f t="shared" ref="K30:L30" si="32">A30</f>
        <v>Matt Barnes</v>
      </c>
      <c r="L30" s="23">
        <f t="shared" si="32"/>
        <v>121</v>
      </c>
      <c r="M30" s="23">
        <f t="shared" si="3"/>
        <v>28</v>
      </c>
      <c r="N30" s="24">
        <f t="shared" si="4"/>
        <v>11.48370248</v>
      </c>
      <c r="O30" s="25">
        <f t="shared" si="5"/>
        <v>0.03968595041</v>
      </c>
    </row>
    <row r="31">
      <c r="A31" s="1" t="s">
        <v>172</v>
      </c>
      <c r="B31" s="1">
        <v>95.0</v>
      </c>
      <c r="C31" s="1">
        <v>1032.0</v>
      </c>
      <c r="D31" s="1">
        <v>70.0</v>
      </c>
      <c r="E31" s="8">
        <v>0.0426736842105263</v>
      </c>
      <c r="F31" s="2">
        <v>68.0</v>
      </c>
      <c r="G31" s="2">
        <v>78.0</v>
      </c>
      <c r="H31" s="3">
        <v>37.8032210526315</v>
      </c>
      <c r="I31" s="3">
        <v>20.0921873830438</v>
      </c>
      <c r="K31" s="22" t="str">
        <f t="shared" ref="K31:L31" si="33">A31</f>
        <v>David Lee</v>
      </c>
      <c r="L31" s="23">
        <f t="shared" si="33"/>
        <v>95</v>
      </c>
      <c r="M31" s="23">
        <f t="shared" si="3"/>
        <v>70</v>
      </c>
      <c r="N31" s="24">
        <f t="shared" si="4"/>
        <v>37.80322105</v>
      </c>
      <c r="O31" s="25">
        <f t="shared" si="5"/>
        <v>0.04267368421</v>
      </c>
    </row>
    <row r="32">
      <c r="A32" s="1" t="s">
        <v>96</v>
      </c>
      <c r="B32" s="1">
        <v>121.0</v>
      </c>
      <c r="C32" s="1">
        <v>972.0</v>
      </c>
      <c r="D32" s="1">
        <v>35.0</v>
      </c>
      <c r="E32" s="8">
        <v>0.0462644628099173</v>
      </c>
      <c r="F32" s="2">
        <v>34.0</v>
      </c>
      <c r="G32" s="2">
        <v>41.0</v>
      </c>
      <c r="H32" s="3">
        <v>15.6598181818181</v>
      </c>
      <c r="I32" s="3">
        <v>10.6861520941128</v>
      </c>
      <c r="K32" s="22" t="str">
        <f t="shared" ref="K32:L32" si="34">A32</f>
        <v>Joakim Noah</v>
      </c>
      <c r="L32" s="23">
        <f t="shared" si="34"/>
        <v>121</v>
      </c>
      <c r="M32" s="23">
        <f t="shared" si="3"/>
        <v>35</v>
      </c>
      <c r="N32" s="24">
        <f t="shared" si="4"/>
        <v>15.65981818</v>
      </c>
      <c r="O32" s="25">
        <f t="shared" si="5"/>
        <v>0.04626446281</v>
      </c>
    </row>
    <row r="33">
      <c r="A33" s="1" t="s">
        <v>106</v>
      </c>
      <c r="B33" s="1">
        <v>96.0</v>
      </c>
      <c r="C33" s="1">
        <v>1000.0</v>
      </c>
      <c r="D33" s="1">
        <v>92.0</v>
      </c>
      <c r="E33" s="8">
        <v>0.0491041666666666</v>
      </c>
      <c r="F33" s="2">
        <v>91.0</v>
      </c>
      <c r="G33" s="2">
        <v>104.0</v>
      </c>
      <c r="H33" s="3">
        <v>47.869125</v>
      </c>
      <c r="I33" s="3">
        <v>27.0510034638466</v>
      </c>
      <c r="K33" s="22" t="str">
        <f t="shared" ref="K33:L33" si="35">A33</f>
        <v>Dwight Howard</v>
      </c>
      <c r="L33" s="23">
        <f t="shared" si="35"/>
        <v>96</v>
      </c>
      <c r="M33" s="23">
        <f t="shared" si="3"/>
        <v>92</v>
      </c>
      <c r="N33" s="24">
        <f t="shared" si="4"/>
        <v>47.869125</v>
      </c>
      <c r="O33" s="25">
        <f t="shared" si="5"/>
        <v>0.04910416667</v>
      </c>
    </row>
    <row r="34">
      <c r="A34" s="1" t="s">
        <v>81</v>
      </c>
      <c r="B34" s="1">
        <v>119.0</v>
      </c>
      <c r="C34" s="1">
        <v>1313.0</v>
      </c>
      <c r="D34" s="1">
        <v>69.0</v>
      </c>
      <c r="E34" s="8">
        <v>0.0501008403361344</v>
      </c>
      <c r="F34" s="2">
        <v>69.0</v>
      </c>
      <c r="G34" s="2">
        <v>82.0</v>
      </c>
      <c r="H34" s="3">
        <v>33.5258151260504</v>
      </c>
      <c r="I34" s="3">
        <v>20.6685436091613</v>
      </c>
      <c r="K34" s="22"/>
      <c r="L34" s="23"/>
      <c r="M34" s="23"/>
      <c r="N34" s="24"/>
      <c r="O34" s="25"/>
    </row>
    <row r="35">
      <c r="A35" s="1" t="s">
        <v>101</v>
      </c>
      <c r="B35" s="1">
        <v>136.0</v>
      </c>
      <c r="C35" s="1">
        <v>1151.0</v>
      </c>
      <c r="D35" s="1">
        <v>30.0</v>
      </c>
      <c r="E35" s="8">
        <v>0.0547647058823529</v>
      </c>
      <c r="F35" s="2">
        <v>30.0</v>
      </c>
      <c r="G35" s="2">
        <v>38.0</v>
      </c>
      <c r="H35" s="3">
        <v>12.8211029411764</v>
      </c>
      <c r="I35" s="3">
        <v>9.23985669394808</v>
      </c>
      <c r="K35" s="22"/>
      <c r="L35" s="23"/>
      <c r="M35" s="23"/>
      <c r="N35" s="24"/>
      <c r="O35" s="25"/>
    </row>
    <row r="36">
      <c r="A36" s="1" t="s">
        <v>75</v>
      </c>
      <c r="B36" s="1">
        <v>134.0</v>
      </c>
      <c r="C36" s="1">
        <v>1068.0</v>
      </c>
      <c r="D36" s="1">
        <v>31.0</v>
      </c>
      <c r="E36" s="8">
        <v>0.0559253731343283</v>
      </c>
      <c r="F36" s="2">
        <v>31.0</v>
      </c>
      <c r="G36" s="2">
        <v>38.0</v>
      </c>
      <c r="H36" s="3">
        <v>13.1819701492537</v>
      </c>
      <c r="I36" s="3">
        <v>9.67318915132532</v>
      </c>
      <c r="K36" s="22"/>
      <c r="L36" s="23"/>
      <c r="M36" s="23"/>
      <c r="N36" s="24"/>
      <c r="O36" s="25"/>
    </row>
    <row r="37">
      <c r="A37" s="1" t="s">
        <v>74</v>
      </c>
      <c r="B37" s="1">
        <v>104.0</v>
      </c>
      <c r="C37" s="1">
        <v>793.0</v>
      </c>
      <c r="D37" s="1">
        <v>19.0</v>
      </c>
      <c r="E37" s="8">
        <v>0.0565192307692307</v>
      </c>
      <c r="F37" s="2">
        <v>19.0</v>
      </c>
      <c r="G37" s="2">
        <v>25.0</v>
      </c>
      <c r="H37" s="3">
        <v>7.10336538461538</v>
      </c>
      <c r="I37" s="3">
        <v>6.18080684778055</v>
      </c>
      <c r="K37" s="22"/>
      <c r="L37" s="23"/>
      <c r="M37" s="23"/>
      <c r="N37" s="24"/>
      <c r="O37" s="25"/>
    </row>
    <row r="38">
      <c r="A38" s="1" t="s">
        <v>63</v>
      </c>
      <c r="B38" s="1">
        <v>126.0</v>
      </c>
      <c r="C38" s="1">
        <v>968.0</v>
      </c>
      <c r="D38" s="1">
        <v>30.0</v>
      </c>
      <c r="E38" s="8">
        <v>0.0602539682539682</v>
      </c>
      <c r="F38" s="2">
        <v>30.0</v>
      </c>
      <c r="G38" s="2">
        <v>37.0</v>
      </c>
      <c r="H38" s="3">
        <v>13.5904444444444</v>
      </c>
      <c r="I38" s="3">
        <v>9.26414032670842</v>
      </c>
      <c r="K38" s="22"/>
      <c r="L38" s="23"/>
      <c r="M38" s="23"/>
      <c r="N38" s="24"/>
      <c r="O38" s="25"/>
    </row>
    <row r="39">
      <c r="A39" s="1" t="s">
        <v>124</v>
      </c>
      <c r="B39" s="1">
        <v>111.0</v>
      </c>
      <c r="C39" s="1">
        <v>1395.0</v>
      </c>
      <c r="D39" s="1">
        <v>34.0</v>
      </c>
      <c r="E39" s="8">
        <v>0.061081081081081</v>
      </c>
      <c r="F39" s="2">
        <v>35.0</v>
      </c>
      <c r="G39" s="2">
        <v>43.0</v>
      </c>
      <c r="H39" s="3">
        <v>15.1634414414414</v>
      </c>
      <c r="I39" s="3">
        <v>10.7831219657227</v>
      </c>
    </row>
    <row r="40">
      <c r="A40" s="1" t="s">
        <v>79</v>
      </c>
      <c r="B40" s="1">
        <v>102.0</v>
      </c>
      <c r="C40" s="1">
        <v>1268.0</v>
      </c>
      <c r="D40" s="1">
        <v>40.0</v>
      </c>
      <c r="E40" s="8">
        <v>0.0619607843137254</v>
      </c>
      <c r="F40" s="2">
        <v>41.0</v>
      </c>
      <c r="G40" s="2">
        <v>50.0</v>
      </c>
      <c r="H40" s="3">
        <v>19.2853333333333</v>
      </c>
      <c r="I40" s="3">
        <v>12.5812994039888</v>
      </c>
    </row>
    <row r="41">
      <c r="A41" s="1" t="s">
        <v>82</v>
      </c>
      <c r="B41" s="1">
        <v>97.0</v>
      </c>
      <c r="C41" s="1">
        <v>1243.0</v>
      </c>
      <c r="D41" s="1">
        <v>31.0</v>
      </c>
      <c r="E41" s="8">
        <v>0.0625567010309278</v>
      </c>
      <c r="F41" s="2">
        <v>32.0</v>
      </c>
      <c r="G41" s="2">
        <v>38.0</v>
      </c>
      <c r="H41" s="3">
        <v>13.9989690721649</v>
      </c>
      <c r="I41" s="3">
        <v>9.83464520762534</v>
      </c>
    </row>
    <row r="42">
      <c r="A42" s="1" t="s">
        <v>32</v>
      </c>
      <c r="B42" s="1">
        <v>114.0</v>
      </c>
      <c r="C42" s="1">
        <v>1024.0</v>
      </c>
      <c r="D42" s="1">
        <v>25.0</v>
      </c>
      <c r="E42" s="8">
        <v>0.0659122807017543</v>
      </c>
      <c r="F42" s="2">
        <v>26.0</v>
      </c>
      <c r="G42" s="2">
        <v>32.0</v>
      </c>
      <c r="H42" s="3">
        <v>10.9175789473684</v>
      </c>
      <c r="I42" s="3">
        <v>8.27544538038692</v>
      </c>
    </row>
    <row r="43">
      <c r="A43" s="1" t="s">
        <v>130</v>
      </c>
      <c r="B43" s="1">
        <v>109.0</v>
      </c>
      <c r="C43" s="1">
        <v>1080.0</v>
      </c>
      <c r="D43" s="1">
        <v>50.0</v>
      </c>
      <c r="E43" s="8">
        <v>0.0660183486238532</v>
      </c>
      <c r="F43" s="2">
        <v>51.0</v>
      </c>
      <c r="G43" s="2">
        <v>61.0</v>
      </c>
      <c r="H43" s="3">
        <v>25.2019816513761</v>
      </c>
      <c r="I43" s="3">
        <v>15.7618902757214</v>
      </c>
    </row>
    <row r="44">
      <c r="A44" s="1" t="s">
        <v>99</v>
      </c>
      <c r="B44" s="1">
        <v>113.0</v>
      </c>
      <c r="C44" s="1">
        <v>945.0</v>
      </c>
      <c r="D44" s="1">
        <v>21.0</v>
      </c>
      <c r="E44" s="8">
        <v>0.0662300884955752</v>
      </c>
      <c r="F44" s="2">
        <v>22.0</v>
      </c>
      <c r="G44" s="2">
        <v>28.0</v>
      </c>
      <c r="H44" s="3">
        <v>9.52293805309734</v>
      </c>
      <c r="I44" s="3">
        <v>6.77991995186408</v>
      </c>
    </row>
    <row r="45">
      <c r="A45" s="1" t="s">
        <v>133</v>
      </c>
      <c r="B45" s="1">
        <v>76.0</v>
      </c>
      <c r="C45" s="1">
        <v>1463.0</v>
      </c>
      <c r="D45" s="1">
        <v>63.0</v>
      </c>
      <c r="E45" s="8">
        <v>0.0682105263157894</v>
      </c>
      <c r="F45" s="2">
        <v>65.0</v>
      </c>
      <c r="G45" s="2">
        <v>76.0</v>
      </c>
      <c r="H45" s="3">
        <v>33.3682368421052</v>
      </c>
      <c r="I45" s="3">
        <v>18.9059349229898</v>
      </c>
    </row>
    <row r="46">
      <c r="A46" s="1" t="s">
        <v>34</v>
      </c>
      <c r="B46" s="1">
        <v>113.0</v>
      </c>
      <c r="C46" s="1">
        <v>799.0</v>
      </c>
      <c r="D46" s="1">
        <v>18.0</v>
      </c>
      <c r="E46" s="8">
        <v>0.0708495575221239</v>
      </c>
      <c r="F46" s="2">
        <v>19.0</v>
      </c>
      <c r="G46" s="2">
        <v>23.0</v>
      </c>
      <c r="H46" s="3">
        <v>8.15446017699115</v>
      </c>
      <c r="I46" s="3">
        <v>5.79267011053418</v>
      </c>
    </row>
    <row r="47">
      <c r="A47" s="1" t="s">
        <v>137</v>
      </c>
      <c r="B47" s="1">
        <v>126.0</v>
      </c>
      <c r="C47" s="1">
        <v>1040.0</v>
      </c>
      <c r="D47" s="1">
        <v>30.0</v>
      </c>
      <c r="E47" s="8">
        <v>0.0709206349206349</v>
      </c>
      <c r="F47" s="2">
        <v>31.0</v>
      </c>
      <c r="G47" s="2">
        <v>38.0</v>
      </c>
      <c r="H47" s="3">
        <v>15.5796507936507</v>
      </c>
      <c r="I47" s="3">
        <v>9.15902045805504</v>
      </c>
    </row>
    <row r="48">
      <c r="A48" s="1" t="s">
        <v>104</v>
      </c>
      <c r="B48" s="1">
        <v>126.0</v>
      </c>
      <c r="C48" s="1">
        <v>1327.0</v>
      </c>
      <c r="D48" s="1">
        <v>37.0</v>
      </c>
      <c r="E48" s="8">
        <v>0.071079365079365</v>
      </c>
      <c r="F48" s="2">
        <v>39.0</v>
      </c>
      <c r="G48" s="2">
        <v>47.0</v>
      </c>
      <c r="H48" s="3">
        <v>17.4341746031746</v>
      </c>
      <c r="I48" s="3">
        <v>12.2385190916554</v>
      </c>
    </row>
    <row r="49">
      <c r="A49" s="1" t="s">
        <v>36</v>
      </c>
      <c r="B49" s="1">
        <v>122.0</v>
      </c>
      <c r="C49" s="1">
        <v>907.0</v>
      </c>
      <c r="D49" s="1">
        <v>53.0</v>
      </c>
      <c r="E49" s="8">
        <v>0.0736885245901639</v>
      </c>
      <c r="F49" s="2">
        <v>55.0</v>
      </c>
      <c r="G49" s="2">
        <v>65.0</v>
      </c>
      <c r="H49" s="3">
        <v>27.4184098360655</v>
      </c>
      <c r="I49" s="3">
        <v>17.0837387573796</v>
      </c>
    </row>
    <row r="50">
      <c r="A50" s="1" t="s">
        <v>150</v>
      </c>
      <c r="B50" s="1">
        <v>81.0</v>
      </c>
      <c r="C50" s="1">
        <v>783.0</v>
      </c>
      <c r="D50" s="1">
        <v>19.0</v>
      </c>
      <c r="E50" s="8">
        <v>0.0759012345679012</v>
      </c>
      <c r="F50" s="2">
        <v>20.0</v>
      </c>
      <c r="G50" s="2">
        <v>26.0</v>
      </c>
      <c r="H50" s="3">
        <v>8.74943209876543</v>
      </c>
      <c r="I50" s="3">
        <v>6.28858114075885</v>
      </c>
    </row>
    <row r="51">
      <c r="A51" s="1" t="s">
        <v>103</v>
      </c>
      <c r="B51" s="1">
        <v>125.0</v>
      </c>
      <c r="C51" s="1">
        <v>1078.0</v>
      </c>
      <c r="D51" s="1">
        <v>20.0</v>
      </c>
      <c r="E51" s="8">
        <v>0.077616</v>
      </c>
      <c r="F51" s="2">
        <v>21.0</v>
      </c>
      <c r="G51" s="2">
        <v>27.0</v>
      </c>
      <c r="H51" s="3">
        <v>8.321536</v>
      </c>
      <c r="I51" s="3">
        <v>6.87461930587461</v>
      </c>
    </row>
    <row r="52">
      <c r="A52" s="1" t="s">
        <v>147</v>
      </c>
      <c r="B52" s="1">
        <v>52.0</v>
      </c>
      <c r="C52" s="1">
        <v>603.0</v>
      </c>
      <c r="D52" s="1">
        <v>20.0</v>
      </c>
      <c r="E52" s="8">
        <v>0.0811538461538461</v>
      </c>
      <c r="F52" s="2">
        <v>22.0</v>
      </c>
      <c r="G52" s="2">
        <v>27.0</v>
      </c>
      <c r="H52" s="3">
        <v>9.74665384615384</v>
      </c>
      <c r="I52" s="3">
        <v>6.56337216588163</v>
      </c>
    </row>
    <row r="53">
      <c r="A53" s="1" t="s">
        <v>184</v>
      </c>
      <c r="B53" s="1">
        <v>64.0</v>
      </c>
      <c r="C53" s="1">
        <v>854.0</v>
      </c>
      <c r="D53" s="1">
        <v>25.0</v>
      </c>
      <c r="E53" s="8">
        <v>0.08190625</v>
      </c>
      <c r="F53" s="2">
        <v>27.0</v>
      </c>
      <c r="G53" s="2">
        <v>33.0</v>
      </c>
      <c r="H53" s="3">
        <v>11.78484375</v>
      </c>
      <c r="I53" s="3">
        <v>8.16425832749588</v>
      </c>
    </row>
    <row r="54">
      <c r="A54" s="1" t="s">
        <v>60</v>
      </c>
      <c r="B54" s="1">
        <v>86.0</v>
      </c>
      <c r="C54" s="1">
        <v>1322.0</v>
      </c>
      <c r="D54" s="1">
        <v>68.0</v>
      </c>
      <c r="E54" s="8">
        <v>0.0831627906976744</v>
      </c>
      <c r="F54" s="2">
        <v>72.0</v>
      </c>
      <c r="G54" s="2">
        <v>85.0</v>
      </c>
      <c r="H54" s="3">
        <v>36.0047674418604</v>
      </c>
      <c r="I54" s="3">
        <v>21.4469795253287</v>
      </c>
    </row>
    <row r="55">
      <c r="A55" s="1" t="s">
        <v>126</v>
      </c>
      <c r="B55" s="1">
        <v>107.0</v>
      </c>
      <c r="C55" s="1">
        <v>1415.0</v>
      </c>
      <c r="D55" s="1">
        <v>53.0</v>
      </c>
      <c r="E55" s="8">
        <v>0.0851214953271028</v>
      </c>
      <c r="F55" s="2">
        <v>57.0</v>
      </c>
      <c r="G55" s="2">
        <v>68.0</v>
      </c>
      <c r="H55" s="3">
        <v>27.7070093457943</v>
      </c>
      <c r="I55" s="3">
        <v>16.9660542731079</v>
      </c>
    </row>
    <row r="56">
      <c r="A56" s="1" t="s">
        <v>83</v>
      </c>
      <c r="B56" s="1">
        <v>128.0</v>
      </c>
      <c r="C56" s="1">
        <v>1015.0</v>
      </c>
      <c r="D56" s="1">
        <v>36.0</v>
      </c>
      <c r="E56" s="8">
        <v>0.08625</v>
      </c>
      <c r="F56" s="2">
        <v>39.0</v>
      </c>
      <c r="G56" s="2">
        <v>47.0</v>
      </c>
      <c r="H56" s="3">
        <v>19.15075</v>
      </c>
      <c r="I56" s="3">
        <v>11.6069130559119</v>
      </c>
    </row>
    <row r="57">
      <c r="A57" s="1" t="s">
        <v>157</v>
      </c>
      <c r="B57" s="1">
        <v>125.0</v>
      </c>
      <c r="C57" s="1">
        <v>1074.0</v>
      </c>
      <c r="D57" s="1">
        <v>39.0</v>
      </c>
      <c r="E57" s="8">
        <v>0.087248</v>
      </c>
      <c r="F57" s="2">
        <v>42.0</v>
      </c>
      <c r="G57" s="2">
        <v>51.0</v>
      </c>
      <c r="H57" s="3">
        <v>19.695152</v>
      </c>
      <c r="I57" s="3">
        <v>13.138318145672</v>
      </c>
    </row>
    <row r="58">
      <c r="A58" s="1" t="s">
        <v>94</v>
      </c>
      <c r="B58" s="1">
        <v>93.0</v>
      </c>
      <c r="C58" s="1">
        <v>767.0</v>
      </c>
      <c r="D58" s="1">
        <v>17.0</v>
      </c>
      <c r="E58" s="8">
        <v>0.0892903225806451</v>
      </c>
      <c r="F58" s="2">
        <v>19.0</v>
      </c>
      <c r="G58" s="2">
        <v>25.0</v>
      </c>
      <c r="H58" s="3">
        <v>7.16075268817204</v>
      </c>
      <c r="I58" s="3">
        <v>6.13615650368873</v>
      </c>
    </row>
    <row r="59">
      <c r="A59" s="1" t="s">
        <v>144</v>
      </c>
      <c r="B59" s="1">
        <v>142.0</v>
      </c>
      <c r="C59" s="1">
        <v>1272.0</v>
      </c>
      <c r="D59" s="1">
        <v>36.0</v>
      </c>
      <c r="E59" s="8">
        <v>0.090338028169014</v>
      </c>
      <c r="F59" s="2">
        <v>39.0</v>
      </c>
      <c r="G59" s="2">
        <v>46.0</v>
      </c>
      <c r="H59" s="3">
        <v>18.1002535211267</v>
      </c>
      <c r="I59" s="3">
        <v>12.0876228137644</v>
      </c>
    </row>
    <row r="60">
      <c r="A60" s="1" t="s">
        <v>68</v>
      </c>
      <c r="B60" s="1">
        <v>103.0</v>
      </c>
      <c r="C60" s="1">
        <v>1136.0</v>
      </c>
      <c r="D60" s="1">
        <v>47.0</v>
      </c>
      <c r="E60" s="8">
        <v>0.0911844660194174</v>
      </c>
      <c r="F60" s="2">
        <v>51.0</v>
      </c>
      <c r="G60" s="2">
        <v>60.0</v>
      </c>
      <c r="H60" s="3">
        <v>23.6885436893203</v>
      </c>
      <c r="I60" s="3">
        <v>15.684305581328</v>
      </c>
    </row>
    <row r="61">
      <c r="A61" s="1" t="s">
        <v>44</v>
      </c>
      <c r="B61" s="1">
        <v>116.0</v>
      </c>
      <c r="C61" s="1">
        <v>912.0</v>
      </c>
      <c r="D61" s="1">
        <v>40.0</v>
      </c>
      <c r="E61" s="8">
        <v>0.0921724137931034</v>
      </c>
      <c r="F61" s="2">
        <v>43.0</v>
      </c>
      <c r="G61" s="2">
        <v>50.0</v>
      </c>
      <c r="H61" s="3">
        <v>22.1915862068965</v>
      </c>
      <c r="I61" s="3">
        <v>12.7833196096541</v>
      </c>
    </row>
    <row r="62">
      <c r="A62" s="1" t="s">
        <v>118</v>
      </c>
      <c r="B62" s="1">
        <v>136.0</v>
      </c>
      <c r="C62" s="1">
        <v>1406.0</v>
      </c>
      <c r="D62" s="1">
        <v>101.0</v>
      </c>
      <c r="E62" s="8">
        <v>0.0924558823529411</v>
      </c>
      <c r="F62" s="2">
        <v>109.0</v>
      </c>
      <c r="G62" s="2">
        <v>124.0</v>
      </c>
      <c r="H62" s="3">
        <v>53.7835588235294</v>
      </c>
      <c r="I62" s="3">
        <v>32.8520208033567</v>
      </c>
    </row>
    <row r="63">
      <c r="A63" s="1" t="s">
        <v>98</v>
      </c>
      <c r="B63" s="1">
        <v>132.0</v>
      </c>
      <c r="C63" s="1">
        <v>947.0</v>
      </c>
      <c r="D63" s="1">
        <v>54.0</v>
      </c>
      <c r="E63" s="8">
        <v>0.0929242424242424</v>
      </c>
      <c r="F63" s="2">
        <v>59.0</v>
      </c>
      <c r="G63" s="2">
        <v>69.0</v>
      </c>
      <c r="H63" s="3">
        <v>27.6987575757575</v>
      </c>
      <c r="I63" s="3">
        <v>17.8130938808477</v>
      </c>
    </row>
    <row r="64">
      <c r="A64" s="1" t="s">
        <v>64</v>
      </c>
      <c r="B64" s="1">
        <v>89.0</v>
      </c>
      <c r="C64" s="1">
        <v>1343.0</v>
      </c>
      <c r="D64" s="1">
        <v>78.0</v>
      </c>
      <c r="E64" s="8">
        <v>0.0938426966292134</v>
      </c>
      <c r="F64" s="2">
        <v>85.0</v>
      </c>
      <c r="G64" s="2">
        <v>99.0</v>
      </c>
      <c r="H64" s="3">
        <v>40.8635955056179</v>
      </c>
      <c r="I64" s="3">
        <v>25.9519036667114</v>
      </c>
    </row>
    <row r="65">
      <c r="A65" s="1" t="s">
        <v>135</v>
      </c>
      <c r="B65" s="1">
        <v>112.0</v>
      </c>
      <c r="C65" s="1">
        <v>1304.0</v>
      </c>
      <c r="D65" s="1">
        <v>38.0</v>
      </c>
      <c r="E65" s="8">
        <v>0.0953392857142857</v>
      </c>
      <c r="F65" s="2">
        <v>41.0</v>
      </c>
      <c r="G65" s="2">
        <v>50.0</v>
      </c>
      <c r="H65" s="3">
        <v>20.1911428571428</v>
      </c>
      <c r="I65" s="3">
        <v>12.6087809587329</v>
      </c>
    </row>
    <row r="66">
      <c r="A66" s="1" t="s">
        <v>136</v>
      </c>
      <c r="B66" s="1">
        <v>110.0</v>
      </c>
      <c r="C66" s="1">
        <v>1448.0</v>
      </c>
      <c r="D66" s="1">
        <v>72.0</v>
      </c>
      <c r="E66" s="8">
        <v>0.0959636363636363</v>
      </c>
      <c r="F66" s="2">
        <v>79.0</v>
      </c>
      <c r="G66" s="2">
        <v>91.0</v>
      </c>
      <c r="H66" s="3">
        <v>38.1274363636363</v>
      </c>
      <c r="I66" s="3">
        <v>24.360308924197</v>
      </c>
    </row>
    <row r="67">
      <c r="A67" s="1" t="s">
        <v>71</v>
      </c>
      <c r="B67" s="1">
        <v>112.0</v>
      </c>
      <c r="C67" s="1">
        <v>1116.0</v>
      </c>
      <c r="D67" s="1">
        <v>34.0</v>
      </c>
      <c r="E67" s="8">
        <v>0.0974107142857142</v>
      </c>
      <c r="F67" s="2">
        <v>37.0</v>
      </c>
      <c r="G67" s="2">
        <v>44.0</v>
      </c>
      <c r="H67" s="3">
        <v>19.6398571428571</v>
      </c>
      <c r="I67" s="3">
        <v>10.741394095854</v>
      </c>
    </row>
    <row r="68">
      <c r="A68" s="1" t="s">
        <v>77</v>
      </c>
      <c r="B68" s="1">
        <v>81.0</v>
      </c>
      <c r="C68" s="1">
        <v>1006.0</v>
      </c>
      <c r="D68" s="1">
        <v>65.0</v>
      </c>
      <c r="E68" s="8">
        <v>0.0981728395061728</v>
      </c>
      <c r="F68" s="2">
        <v>71.0</v>
      </c>
      <c r="G68" s="2">
        <v>83.0</v>
      </c>
      <c r="H68" s="3">
        <v>37.0802469135802</v>
      </c>
      <c r="I68" s="3">
        <v>20.5160011009358</v>
      </c>
    </row>
    <row r="69">
      <c r="A69" s="1" t="s">
        <v>87</v>
      </c>
      <c r="B69" s="1">
        <v>95.0</v>
      </c>
      <c r="C69" s="1">
        <v>1349.0</v>
      </c>
      <c r="D69" s="1">
        <v>63.0</v>
      </c>
      <c r="E69" s="8">
        <v>0.10218947368421</v>
      </c>
      <c r="F69" s="2">
        <v>70.0</v>
      </c>
      <c r="G69" s="2">
        <v>82.0</v>
      </c>
      <c r="H69" s="3">
        <v>31.9626315789473</v>
      </c>
      <c r="I69" s="3">
        <v>21.7491326728713</v>
      </c>
    </row>
    <row r="70">
      <c r="A70" s="1" t="s">
        <v>69</v>
      </c>
      <c r="B70" s="1">
        <v>93.0</v>
      </c>
      <c r="C70" s="1">
        <v>1072.0</v>
      </c>
      <c r="D70" s="1">
        <v>35.0</v>
      </c>
      <c r="E70" s="8">
        <v>0.102537634408602</v>
      </c>
      <c r="F70" s="2">
        <v>39.0</v>
      </c>
      <c r="G70" s="2">
        <v>47.0</v>
      </c>
      <c r="H70" s="3">
        <v>18.341505376344</v>
      </c>
      <c r="I70" s="3">
        <v>11.8882384223906</v>
      </c>
    </row>
    <row r="71">
      <c r="A71" s="1" t="s">
        <v>95</v>
      </c>
      <c r="B71" s="1">
        <v>79.0</v>
      </c>
      <c r="C71" s="1">
        <v>1004.0</v>
      </c>
      <c r="D71" s="1">
        <v>39.0</v>
      </c>
      <c r="E71" s="8">
        <v>0.103696202531645</v>
      </c>
      <c r="F71" s="2">
        <v>44.0</v>
      </c>
      <c r="G71" s="2">
        <v>52.0</v>
      </c>
      <c r="H71" s="3">
        <v>18.6694683544303</v>
      </c>
      <c r="I71" s="3">
        <v>14.1396852227468</v>
      </c>
    </row>
    <row r="72">
      <c r="A72" s="1" t="s">
        <v>58</v>
      </c>
      <c r="B72" s="1">
        <v>97.0</v>
      </c>
      <c r="C72" s="1">
        <v>1093.0</v>
      </c>
      <c r="D72" s="1">
        <v>33.0</v>
      </c>
      <c r="E72" s="8">
        <v>0.104020618556701</v>
      </c>
      <c r="F72" s="2">
        <v>37.0</v>
      </c>
      <c r="G72" s="2">
        <v>44.0</v>
      </c>
      <c r="H72" s="3">
        <v>17.816</v>
      </c>
      <c r="I72" s="3">
        <v>11.1108157429698</v>
      </c>
    </row>
    <row r="73">
      <c r="A73" s="1" t="s">
        <v>143</v>
      </c>
      <c r="B73" s="1">
        <v>107.0</v>
      </c>
      <c r="C73" s="1">
        <v>864.0</v>
      </c>
      <c r="D73" s="1">
        <v>20.0</v>
      </c>
      <c r="E73" s="8">
        <v>0.10433644859813</v>
      </c>
      <c r="F73" s="2">
        <v>23.0</v>
      </c>
      <c r="G73" s="2">
        <v>28.0</v>
      </c>
      <c r="H73" s="3">
        <v>10.4897943925233</v>
      </c>
      <c r="I73" s="3">
        <v>6.74773125976333</v>
      </c>
    </row>
    <row r="74">
      <c r="A74" s="1" t="s">
        <v>56</v>
      </c>
      <c r="B74" s="1">
        <v>120.0</v>
      </c>
      <c r="C74" s="1">
        <v>958.0</v>
      </c>
      <c r="D74" s="1">
        <v>26.0</v>
      </c>
      <c r="E74" s="8">
        <v>0.1073</v>
      </c>
      <c r="F74" s="2">
        <v>30.0</v>
      </c>
      <c r="G74" s="2">
        <v>37.0</v>
      </c>
      <c r="H74" s="3">
        <v>12.1167833333333</v>
      </c>
      <c r="I74" s="3">
        <v>9.52028247058469</v>
      </c>
    </row>
    <row r="75">
      <c r="A75" s="1" t="s">
        <v>40</v>
      </c>
      <c r="B75" s="1">
        <v>62.0</v>
      </c>
      <c r="C75" s="1">
        <v>869.0</v>
      </c>
      <c r="D75" s="1">
        <v>28.0</v>
      </c>
      <c r="E75" s="8">
        <v>0.108903225806451</v>
      </c>
      <c r="F75" s="2">
        <v>32.0</v>
      </c>
      <c r="G75" s="2">
        <v>40.0</v>
      </c>
      <c r="H75" s="3">
        <v>13.9374193548387</v>
      </c>
      <c r="I75" s="3">
        <v>10.1438978853304</v>
      </c>
    </row>
    <row r="76">
      <c r="A76" s="1" t="s">
        <v>90</v>
      </c>
      <c r="B76" s="1">
        <v>77.0</v>
      </c>
      <c r="C76" s="1">
        <v>733.0</v>
      </c>
      <c r="D76" s="1">
        <v>14.0</v>
      </c>
      <c r="E76" s="8">
        <v>0.110337662337662</v>
      </c>
      <c r="F76" s="2">
        <v>17.0</v>
      </c>
      <c r="G76" s="2">
        <v>22.0</v>
      </c>
      <c r="H76" s="3">
        <v>6.23594805194805</v>
      </c>
      <c r="I76" s="3">
        <v>5.50162348623698</v>
      </c>
    </row>
    <row r="77">
      <c r="A77" s="1" t="s">
        <v>154</v>
      </c>
      <c r="B77" s="1">
        <v>132.0</v>
      </c>
      <c r="C77" s="1">
        <v>920.0</v>
      </c>
      <c r="D77" s="1">
        <v>23.0</v>
      </c>
      <c r="E77" s="8">
        <v>0.110469696969696</v>
      </c>
      <c r="F77" s="2">
        <v>27.0</v>
      </c>
      <c r="G77" s="2">
        <v>33.0</v>
      </c>
      <c r="H77" s="3">
        <v>10.8387424242424</v>
      </c>
      <c r="I77" s="3">
        <v>8.59525480047973</v>
      </c>
    </row>
    <row r="78">
      <c r="A78" s="1" t="s">
        <v>159</v>
      </c>
      <c r="B78" s="1">
        <v>130.0</v>
      </c>
      <c r="C78" s="1">
        <v>926.0</v>
      </c>
      <c r="D78" s="1">
        <v>21.0</v>
      </c>
      <c r="E78" s="8">
        <v>0.111</v>
      </c>
      <c r="F78" s="2">
        <v>24.0</v>
      </c>
      <c r="G78" s="2">
        <v>29.0</v>
      </c>
      <c r="H78" s="3">
        <v>10.5768923076923</v>
      </c>
      <c r="I78" s="3">
        <v>7.67175808979938</v>
      </c>
    </row>
    <row r="79">
      <c r="A79" s="1" t="s">
        <v>97</v>
      </c>
      <c r="B79" s="1">
        <v>120.0</v>
      </c>
      <c r="C79" s="1">
        <v>1385.0</v>
      </c>
      <c r="D79" s="1">
        <v>77.0</v>
      </c>
      <c r="E79" s="8">
        <v>0.1126</v>
      </c>
      <c r="F79" s="2">
        <v>85.0</v>
      </c>
      <c r="G79" s="2">
        <v>97.0</v>
      </c>
      <c r="H79" s="3">
        <v>44.5071</v>
      </c>
      <c r="I79" s="3">
        <v>25.3709804617401</v>
      </c>
    </row>
    <row r="80">
      <c r="A80" s="1" t="s">
        <v>110</v>
      </c>
      <c r="B80" s="1">
        <v>129.0</v>
      </c>
      <c r="C80" s="1">
        <v>1299.0</v>
      </c>
      <c r="D80" s="1">
        <v>29.0</v>
      </c>
      <c r="E80" s="8">
        <v>0.113410852713178</v>
      </c>
      <c r="F80" s="2">
        <v>33.0</v>
      </c>
      <c r="G80" s="2">
        <v>39.0</v>
      </c>
      <c r="H80" s="3">
        <v>15.7876899224806</v>
      </c>
      <c r="I80" s="3">
        <v>9.8394197107826</v>
      </c>
    </row>
    <row r="81">
      <c r="A81" s="1" t="s">
        <v>116</v>
      </c>
      <c r="B81" s="1">
        <v>121.0</v>
      </c>
      <c r="C81" s="1">
        <v>1474.0</v>
      </c>
      <c r="D81" s="1">
        <v>58.0</v>
      </c>
      <c r="E81" s="8">
        <v>0.114842975206611</v>
      </c>
      <c r="F81" s="2">
        <v>66.0</v>
      </c>
      <c r="G81" s="2">
        <v>78.0</v>
      </c>
      <c r="H81" s="3">
        <v>31.7963305785123</v>
      </c>
      <c r="I81" s="3">
        <v>20.1837396240892</v>
      </c>
    </row>
    <row r="82">
      <c r="A82" s="1" t="s">
        <v>114</v>
      </c>
      <c r="B82" s="1">
        <v>128.0</v>
      </c>
      <c r="C82" s="1">
        <v>1741.0</v>
      </c>
      <c r="D82" s="1">
        <v>39.0</v>
      </c>
      <c r="E82" s="8">
        <v>0.11871875</v>
      </c>
      <c r="F82" s="2">
        <v>45.0</v>
      </c>
      <c r="G82" s="2">
        <v>53.0</v>
      </c>
      <c r="H82" s="3">
        <v>21.13940625</v>
      </c>
      <c r="I82" s="3">
        <v>13.6484524176721</v>
      </c>
    </row>
    <row r="83">
      <c r="A83" s="1" t="s">
        <v>88</v>
      </c>
      <c r="B83" s="1">
        <v>133.0</v>
      </c>
      <c r="C83" s="1">
        <v>1457.0</v>
      </c>
      <c r="D83" s="1">
        <v>41.0</v>
      </c>
      <c r="E83" s="8">
        <v>0.119127819548872</v>
      </c>
      <c r="F83" s="2">
        <v>46.0</v>
      </c>
      <c r="G83" s="2">
        <v>55.0</v>
      </c>
      <c r="H83" s="3">
        <v>22.9117593984962</v>
      </c>
      <c r="I83" s="3">
        <v>13.8283375849435</v>
      </c>
    </row>
    <row r="84">
      <c r="A84" s="1" t="s">
        <v>28</v>
      </c>
      <c r="B84" s="1">
        <v>80.0</v>
      </c>
      <c r="C84" s="1">
        <v>710.0</v>
      </c>
      <c r="D84" s="1">
        <v>22.0</v>
      </c>
      <c r="E84" s="8">
        <v>0.121075</v>
      </c>
      <c r="F84" s="2">
        <v>26.0</v>
      </c>
      <c r="G84" s="2">
        <v>32.0</v>
      </c>
      <c r="H84" s="3">
        <v>11.715175</v>
      </c>
      <c r="I84" s="3">
        <v>8.02169244731901</v>
      </c>
    </row>
    <row r="85">
      <c r="A85" s="1" t="s">
        <v>149</v>
      </c>
      <c r="B85" s="1">
        <v>77.0</v>
      </c>
      <c r="C85" s="1">
        <v>1134.0</v>
      </c>
      <c r="D85" s="1">
        <v>30.0</v>
      </c>
      <c r="E85" s="8">
        <v>0.123766233766233</v>
      </c>
      <c r="F85" s="2">
        <v>35.0</v>
      </c>
      <c r="G85" s="2">
        <v>42.0</v>
      </c>
      <c r="H85" s="3">
        <v>16.1138701298701</v>
      </c>
      <c r="I85" s="3">
        <v>10.8169645421075</v>
      </c>
    </row>
    <row r="86">
      <c r="A86" s="1" t="s">
        <v>105</v>
      </c>
      <c r="B86" s="1">
        <v>97.0</v>
      </c>
      <c r="C86" s="1">
        <v>1183.0</v>
      </c>
      <c r="D86" s="1">
        <v>28.0</v>
      </c>
      <c r="E86" s="8">
        <v>0.123876288659793</v>
      </c>
      <c r="F86" s="2">
        <v>33.0</v>
      </c>
      <c r="G86" s="2">
        <v>41.0</v>
      </c>
      <c r="H86" s="3">
        <v>12.9457113402061</v>
      </c>
      <c r="I86" s="3">
        <v>10.7792202326463</v>
      </c>
    </row>
    <row r="87">
      <c r="A87" s="1" t="s">
        <v>162</v>
      </c>
      <c r="B87" s="1">
        <v>62.0</v>
      </c>
      <c r="C87" s="1">
        <v>1127.0</v>
      </c>
      <c r="D87" s="1">
        <v>31.0</v>
      </c>
      <c r="E87" s="8">
        <v>0.127290322580645</v>
      </c>
      <c r="F87" s="2">
        <v>36.0</v>
      </c>
      <c r="G87" s="2">
        <v>44.0</v>
      </c>
      <c r="H87" s="3">
        <v>17.0513548387096</v>
      </c>
      <c r="I87" s="3">
        <v>11.0732345758077</v>
      </c>
    </row>
    <row r="88">
      <c r="A88" s="1" t="s">
        <v>86</v>
      </c>
      <c r="B88" s="1">
        <v>97.0</v>
      </c>
      <c r="C88" s="1">
        <v>1192.0</v>
      </c>
      <c r="D88" s="1">
        <v>18.0</v>
      </c>
      <c r="E88" s="8">
        <v>0.130680412371134</v>
      </c>
      <c r="F88" s="2">
        <v>22.0</v>
      </c>
      <c r="G88" s="2">
        <v>27.0</v>
      </c>
      <c r="H88" s="3">
        <v>8.95156701030927</v>
      </c>
      <c r="I88" s="3">
        <v>6.90679514637311</v>
      </c>
    </row>
    <row r="89">
      <c r="A89" s="1" t="s">
        <v>152</v>
      </c>
      <c r="B89" s="1">
        <v>91.0</v>
      </c>
      <c r="C89" s="1">
        <v>949.0</v>
      </c>
      <c r="D89" s="1">
        <v>20.0</v>
      </c>
      <c r="E89" s="8">
        <v>0.135978021978021</v>
      </c>
      <c r="F89" s="2">
        <v>24.0</v>
      </c>
      <c r="G89" s="2">
        <v>31.0</v>
      </c>
      <c r="H89" s="3">
        <v>10.4888571428571</v>
      </c>
      <c r="I89" s="3">
        <v>7.62887999005547</v>
      </c>
    </row>
    <row r="90">
      <c r="A90" s="1" t="s">
        <v>145</v>
      </c>
      <c r="B90" s="1">
        <v>94.0</v>
      </c>
      <c r="C90" s="1">
        <v>1393.0</v>
      </c>
      <c r="D90" s="1">
        <v>37.0</v>
      </c>
      <c r="E90" s="8">
        <v>0.136489361702127</v>
      </c>
      <c r="F90" s="2">
        <v>44.0</v>
      </c>
      <c r="G90" s="2">
        <v>53.0</v>
      </c>
      <c r="H90" s="3">
        <v>20.7108510638297</v>
      </c>
      <c r="I90" s="3">
        <v>13.2966900904246</v>
      </c>
    </row>
    <row r="91">
      <c r="A91" s="1" t="s">
        <v>175</v>
      </c>
      <c r="B91" s="1">
        <v>91.0</v>
      </c>
      <c r="C91" s="1">
        <v>1398.0</v>
      </c>
      <c r="D91" s="1">
        <v>45.0</v>
      </c>
      <c r="E91" s="8">
        <v>0.138351648351648</v>
      </c>
      <c r="F91" s="2">
        <v>54.0</v>
      </c>
      <c r="G91" s="2">
        <v>65.0</v>
      </c>
      <c r="H91" s="3">
        <v>25.5653846153846</v>
      </c>
      <c r="I91" s="3">
        <v>16.2139083429372</v>
      </c>
    </row>
    <row r="92">
      <c r="A92" s="1" t="s">
        <v>108</v>
      </c>
      <c r="B92" s="1">
        <v>113.0</v>
      </c>
      <c r="C92" s="1">
        <v>1418.0</v>
      </c>
      <c r="D92" s="1">
        <v>36.0</v>
      </c>
      <c r="E92" s="8">
        <v>0.145699115044247</v>
      </c>
      <c r="F92" s="2">
        <v>43.0</v>
      </c>
      <c r="G92" s="2">
        <v>52.0</v>
      </c>
      <c r="H92" s="3">
        <v>20.6229380530973</v>
      </c>
      <c r="I92" s="3">
        <v>12.9928265247542</v>
      </c>
    </row>
    <row r="93">
      <c r="A93" s="1" t="s">
        <v>121</v>
      </c>
      <c r="B93" s="1">
        <v>117.0</v>
      </c>
      <c r="C93" s="1">
        <v>817.0</v>
      </c>
      <c r="D93" s="1">
        <v>19.0</v>
      </c>
      <c r="E93" s="8">
        <v>0.149162393162393</v>
      </c>
      <c r="F93" s="2">
        <v>26.0</v>
      </c>
      <c r="G93" s="2">
        <v>34.0</v>
      </c>
      <c r="H93" s="3">
        <v>8.49774358974358</v>
      </c>
      <c r="I93" s="3">
        <v>8.61232142797156</v>
      </c>
    </row>
    <row r="94">
      <c r="A94" s="1" t="s">
        <v>70</v>
      </c>
      <c r="B94" s="1">
        <v>123.0</v>
      </c>
      <c r="C94" s="1">
        <v>1157.0</v>
      </c>
      <c r="D94" s="1">
        <v>38.0</v>
      </c>
      <c r="E94" s="8">
        <v>0.151219512195121</v>
      </c>
      <c r="F94" s="2">
        <v>46.0</v>
      </c>
      <c r="G94" s="2">
        <v>55.0</v>
      </c>
      <c r="H94" s="3">
        <v>22.4197886178861</v>
      </c>
      <c r="I94" s="3">
        <v>13.6767711905705</v>
      </c>
    </row>
    <row r="95">
      <c r="A95" s="1" t="s">
        <v>128</v>
      </c>
      <c r="B95" s="1">
        <v>114.0</v>
      </c>
      <c r="C95" s="1">
        <v>1786.0</v>
      </c>
      <c r="D95" s="1">
        <v>63.0</v>
      </c>
      <c r="E95" s="8">
        <v>0.151561403508771</v>
      </c>
      <c r="F95" s="2">
        <v>78.0</v>
      </c>
      <c r="G95" s="2">
        <v>91.0</v>
      </c>
      <c r="H95" s="3">
        <v>36.0686315789473</v>
      </c>
      <c r="I95" s="3">
        <v>23.5107431633356</v>
      </c>
    </row>
    <row r="96">
      <c r="A96" s="1" t="s">
        <v>91</v>
      </c>
      <c r="B96" s="1">
        <v>115.0</v>
      </c>
      <c r="C96" s="1">
        <v>1905.0</v>
      </c>
      <c r="D96" s="1">
        <v>100.0</v>
      </c>
      <c r="E96" s="8">
        <v>0.151634782608695</v>
      </c>
      <c r="F96" s="2">
        <v>116.0</v>
      </c>
      <c r="G96" s="2">
        <v>132.0</v>
      </c>
      <c r="H96" s="3">
        <v>59.8189217391304</v>
      </c>
      <c r="I96" s="3">
        <v>35.4576353740011</v>
      </c>
    </row>
    <row r="97">
      <c r="A97" s="1" t="s">
        <v>146</v>
      </c>
      <c r="B97" s="1">
        <v>65.0</v>
      </c>
      <c r="C97" s="1">
        <v>1301.0</v>
      </c>
      <c r="D97" s="1">
        <v>44.0</v>
      </c>
      <c r="E97" s="8">
        <v>0.1564</v>
      </c>
      <c r="F97" s="2">
        <v>53.0</v>
      </c>
      <c r="G97" s="2">
        <v>64.0</v>
      </c>
      <c r="H97" s="3">
        <v>25.4406153846153</v>
      </c>
      <c r="I97" s="3">
        <v>16.0275247742916</v>
      </c>
    </row>
    <row r="98">
      <c r="A98" s="1" t="s">
        <v>48</v>
      </c>
      <c r="B98" s="1">
        <v>85.0</v>
      </c>
      <c r="C98" s="1">
        <v>1047.0</v>
      </c>
      <c r="D98" s="1">
        <v>32.0</v>
      </c>
      <c r="E98" s="8">
        <v>0.159929411764705</v>
      </c>
      <c r="F98" s="2">
        <v>39.0</v>
      </c>
      <c r="G98" s="2">
        <v>47.0</v>
      </c>
      <c r="H98" s="3">
        <v>18.7056470588235</v>
      </c>
      <c r="I98" s="3">
        <v>12.1205509918493</v>
      </c>
    </row>
    <row r="99">
      <c r="A99" s="1" t="s">
        <v>73</v>
      </c>
      <c r="B99" s="1">
        <v>94.0</v>
      </c>
      <c r="C99" s="1">
        <v>1574.0</v>
      </c>
      <c r="D99" s="1">
        <v>54.0</v>
      </c>
      <c r="E99" s="8">
        <v>0.164489361702127</v>
      </c>
      <c r="F99" s="2">
        <v>66.0</v>
      </c>
      <c r="G99" s="2">
        <v>78.0</v>
      </c>
      <c r="H99" s="3">
        <v>31.1240212765957</v>
      </c>
      <c r="I99" s="3">
        <v>20.6645230368371</v>
      </c>
    </row>
    <row r="100">
      <c r="A100" s="1" t="s">
        <v>127</v>
      </c>
      <c r="B100" s="1">
        <v>101.0</v>
      </c>
      <c r="C100" s="1">
        <v>1133.0</v>
      </c>
      <c r="D100" s="1">
        <v>40.0</v>
      </c>
      <c r="E100" s="8">
        <v>0.166455445544554</v>
      </c>
      <c r="F100" s="2">
        <v>48.0</v>
      </c>
      <c r="G100" s="2">
        <v>57.0</v>
      </c>
      <c r="H100" s="3">
        <v>24.047207920792</v>
      </c>
      <c r="I100" s="3">
        <v>14.71959390335</v>
      </c>
    </row>
    <row r="101">
      <c r="A101" s="1" t="s">
        <v>165</v>
      </c>
      <c r="B101" s="1">
        <v>122.0</v>
      </c>
      <c r="C101" s="1">
        <v>1782.0</v>
      </c>
      <c r="D101" s="1">
        <v>58.0</v>
      </c>
      <c r="E101" s="8">
        <v>0.176377049180327</v>
      </c>
      <c r="F101" s="2">
        <v>72.0</v>
      </c>
      <c r="G101" s="2">
        <v>85.0</v>
      </c>
      <c r="H101" s="3">
        <v>34.4277213114754</v>
      </c>
      <c r="I101" s="3">
        <v>22.1804157166847</v>
      </c>
    </row>
    <row r="102">
      <c r="A102" s="1" t="s">
        <v>181</v>
      </c>
      <c r="B102" s="1">
        <v>105.0</v>
      </c>
      <c r="C102" s="1">
        <v>1737.0</v>
      </c>
      <c r="D102" s="1">
        <v>75.0</v>
      </c>
      <c r="E102" s="8">
        <v>0.176457142857142</v>
      </c>
      <c r="F102" s="2">
        <v>91.0</v>
      </c>
      <c r="G102" s="2">
        <v>105.0</v>
      </c>
      <c r="H102" s="3">
        <v>46.1388952380952</v>
      </c>
      <c r="I102" s="3">
        <v>27.5715944841525</v>
      </c>
    </row>
    <row r="103">
      <c r="A103" s="1" t="s">
        <v>131</v>
      </c>
      <c r="B103" s="1">
        <v>75.0</v>
      </c>
      <c r="C103" s="1">
        <v>1173.0</v>
      </c>
      <c r="D103" s="1">
        <v>35.0</v>
      </c>
      <c r="E103" s="8">
        <v>0.1776</v>
      </c>
      <c r="F103" s="2">
        <v>45.0</v>
      </c>
      <c r="G103" s="2">
        <v>55.0</v>
      </c>
      <c r="H103" s="3">
        <v>19.7342933333333</v>
      </c>
      <c r="I103" s="3">
        <v>14.4926689502183</v>
      </c>
    </row>
    <row r="104">
      <c r="A104" s="1" t="s">
        <v>102</v>
      </c>
      <c r="B104" s="1">
        <v>129.0</v>
      </c>
      <c r="C104" s="1">
        <v>996.0</v>
      </c>
      <c r="D104" s="1">
        <v>18.0</v>
      </c>
      <c r="E104" s="8">
        <v>0.184635658914728</v>
      </c>
      <c r="F104" s="2">
        <v>23.0</v>
      </c>
      <c r="G104" s="2">
        <v>29.0</v>
      </c>
      <c r="H104" s="3">
        <v>10.7593798449612</v>
      </c>
      <c r="I104" s="3">
        <v>7.17246843780972</v>
      </c>
    </row>
    <row r="105">
      <c r="A105" s="1" t="s">
        <v>125</v>
      </c>
      <c r="B105" s="1">
        <v>96.0</v>
      </c>
      <c r="C105" s="1">
        <v>996.0</v>
      </c>
      <c r="D105" s="1">
        <v>26.0</v>
      </c>
      <c r="E105" s="8">
        <v>0.186020833333333</v>
      </c>
      <c r="F105" s="2">
        <v>34.0</v>
      </c>
      <c r="G105" s="2">
        <v>42.0</v>
      </c>
      <c r="H105" s="3">
        <v>15.6831041666666</v>
      </c>
      <c r="I105" s="3">
        <v>10.3381823610737</v>
      </c>
    </row>
    <row r="106">
      <c r="A106" s="1" t="s">
        <v>122</v>
      </c>
      <c r="B106" s="1">
        <v>101.0</v>
      </c>
      <c r="C106" s="1">
        <v>1295.0</v>
      </c>
      <c r="D106" s="1">
        <v>41.0</v>
      </c>
      <c r="E106" s="8">
        <v>0.186158415841584</v>
      </c>
      <c r="F106" s="2">
        <v>53.0</v>
      </c>
      <c r="G106" s="2">
        <v>63.0</v>
      </c>
      <c r="H106" s="3">
        <v>24.7325346534653</v>
      </c>
      <c r="I106" s="3">
        <v>15.9968464377129</v>
      </c>
    </row>
    <row r="107">
      <c r="A107" s="1" t="s">
        <v>115</v>
      </c>
      <c r="B107" s="1">
        <v>65.0</v>
      </c>
      <c r="C107" s="1">
        <v>669.0</v>
      </c>
      <c r="D107" s="1">
        <v>19.0</v>
      </c>
      <c r="E107" s="8">
        <v>0.187876923076923</v>
      </c>
      <c r="F107" s="2">
        <v>25.0</v>
      </c>
      <c r="G107" s="2">
        <v>30.0</v>
      </c>
      <c r="H107" s="3">
        <v>11.6216923076923</v>
      </c>
      <c r="I107" s="3">
        <v>7.46503172629267</v>
      </c>
    </row>
    <row r="108">
      <c r="A108" s="1" t="s">
        <v>177</v>
      </c>
      <c r="B108" s="1">
        <v>107.0</v>
      </c>
      <c r="C108" s="1">
        <v>1579.0</v>
      </c>
      <c r="D108" s="1">
        <v>45.0</v>
      </c>
      <c r="E108" s="8">
        <v>0.193682242990654</v>
      </c>
      <c r="F108" s="2">
        <v>56.0</v>
      </c>
      <c r="G108" s="2">
        <v>65.0</v>
      </c>
      <c r="H108" s="3">
        <v>28.542953271028</v>
      </c>
      <c r="I108" s="3">
        <v>16.7517711678347</v>
      </c>
    </row>
    <row r="109">
      <c r="A109" s="1" t="s">
        <v>100</v>
      </c>
      <c r="B109" s="1">
        <v>114.0</v>
      </c>
      <c r="C109" s="1">
        <v>1602.0</v>
      </c>
      <c r="D109" s="1">
        <v>36.0</v>
      </c>
      <c r="E109" s="8">
        <v>0.197666666666666</v>
      </c>
      <c r="F109" s="2">
        <v>47.0</v>
      </c>
      <c r="G109" s="2">
        <v>55.0</v>
      </c>
      <c r="H109" s="3">
        <v>22.366245614035</v>
      </c>
      <c r="I109" s="3">
        <v>14.0601965600803</v>
      </c>
    </row>
    <row r="110">
      <c r="A110" s="1" t="s">
        <v>80</v>
      </c>
      <c r="B110" s="1">
        <v>131.0</v>
      </c>
      <c r="C110" s="1">
        <v>1129.0</v>
      </c>
      <c r="D110" s="1">
        <v>18.0</v>
      </c>
      <c r="E110" s="8">
        <v>0.198702290076335</v>
      </c>
      <c r="F110" s="2">
        <v>25.0</v>
      </c>
      <c r="G110" s="2">
        <v>31.0</v>
      </c>
      <c r="H110" s="3">
        <v>10.1354503816793</v>
      </c>
      <c r="I110" s="3">
        <v>8.13259231575366</v>
      </c>
    </row>
    <row r="111">
      <c r="A111" s="1" t="s">
        <v>113</v>
      </c>
      <c r="B111" s="1">
        <v>98.0</v>
      </c>
      <c r="C111" s="1">
        <v>1404.0</v>
      </c>
      <c r="D111" s="1">
        <v>31.0</v>
      </c>
      <c r="E111" s="8">
        <v>0.199530612244897</v>
      </c>
      <c r="F111" s="2">
        <v>40.0</v>
      </c>
      <c r="G111" s="2">
        <v>48.0</v>
      </c>
      <c r="H111" s="3">
        <v>19.0029387755102</v>
      </c>
      <c r="I111" s="3">
        <v>12.3273874425815</v>
      </c>
    </row>
    <row r="112">
      <c r="A112" s="1" t="s">
        <v>164</v>
      </c>
      <c r="B112" s="1">
        <v>106.0</v>
      </c>
      <c r="C112" s="1">
        <v>1328.0</v>
      </c>
      <c r="D112" s="1">
        <v>45.0</v>
      </c>
      <c r="E112" s="8">
        <v>0.207264150943396</v>
      </c>
      <c r="F112" s="2">
        <v>59.0</v>
      </c>
      <c r="G112" s="2">
        <v>70.0</v>
      </c>
      <c r="H112" s="3">
        <v>27.348716981132</v>
      </c>
      <c r="I112" s="3">
        <v>18.5243404449362</v>
      </c>
    </row>
    <row r="113">
      <c r="A113" s="1" t="s">
        <v>171</v>
      </c>
      <c r="B113" s="1">
        <v>95.0</v>
      </c>
      <c r="C113" s="1">
        <v>835.0</v>
      </c>
      <c r="D113" s="1">
        <v>14.0</v>
      </c>
      <c r="E113" s="8">
        <v>0.213473684210526</v>
      </c>
      <c r="F113" s="2">
        <v>20.0</v>
      </c>
      <c r="G113" s="2">
        <v>24.0</v>
      </c>
      <c r="H113" s="3">
        <v>8.50833684210526</v>
      </c>
      <c r="I113" s="3">
        <v>5.94049740715641</v>
      </c>
    </row>
    <row r="114">
      <c r="A114" s="1" t="s">
        <v>156</v>
      </c>
      <c r="B114" s="1">
        <v>88.0</v>
      </c>
      <c r="C114" s="1">
        <v>808.0</v>
      </c>
      <c r="D114" s="1">
        <v>19.0</v>
      </c>
      <c r="E114" s="8">
        <v>0.214590909090909</v>
      </c>
      <c r="F114" s="2">
        <v>27.0</v>
      </c>
      <c r="G114" s="2">
        <v>33.0</v>
      </c>
      <c r="H114" s="3">
        <v>11.471</v>
      </c>
      <c r="I114" s="3">
        <v>8.44804307086988</v>
      </c>
    </row>
    <row r="115">
      <c r="A115" s="1" t="s">
        <v>173</v>
      </c>
      <c r="B115" s="1">
        <v>107.0</v>
      </c>
      <c r="C115" s="1">
        <v>1485.0</v>
      </c>
      <c r="D115" s="1">
        <v>56.0</v>
      </c>
      <c r="E115" s="8">
        <v>0.221065420560747</v>
      </c>
      <c r="F115" s="2">
        <v>74.0</v>
      </c>
      <c r="G115" s="2">
        <v>86.0</v>
      </c>
      <c r="H115" s="3">
        <v>37.6165794392523</v>
      </c>
      <c r="I115" s="3">
        <v>21.3197972558074</v>
      </c>
    </row>
    <row r="116">
      <c r="A116" s="1" t="s">
        <v>163</v>
      </c>
      <c r="B116" s="1">
        <v>134.0</v>
      </c>
      <c r="C116" s="1">
        <v>978.0</v>
      </c>
      <c r="D116" s="1">
        <v>14.0</v>
      </c>
      <c r="E116" s="8">
        <v>0.221805970149253</v>
      </c>
      <c r="F116" s="2">
        <v>23.0</v>
      </c>
      <c r="G116" s="2">
        <v>29.0</v>
      </c>
      <c r="H116" s="3">
        <v>8.13886567164179</v>
      </c>
      <c r="I116" s="3">
        <v>7.41798137423673</v>
      </c>
    </row>
    <row r="117">
      <c r="A117" s="1" t="s">
        <v>174</v>
      </c>
      <c r="B117" s="1">
        <v>91.0</v>
      </c>
      <c r="C117" s="1">
        <v>1222.0</v>
      </c>
      <c r="D117" s="1">
        <v>22.0</v>
      </c>
      <c r="E117" s="8">
        <v>0.225164835164835</v>
      </c>
      <c r="F117" s="2">
        <v>32.0</v>
      </c>
      <c r="G117" s="2">
        <v>39.0</v>
      </c>
      <c r="H117" s="3">
        <v>13.5577802197802</v>
      </c>
      <c r="I117" s="3">
        <v>10.0177919698752</v>
      </c>
    </row>
    <row r="118">
      <c r="A118" s="1" t="s">
        <v>129</v>
      </c>
      <c r="B118" s="1">
        <v>107.0</v>
      </c>
      <c r="C118" s="1">
        <v>816.0</v>
      </c>
      <c r="D118" s="1">
        <v>22.0</v>
      </c>
      <c r="E118" s="8">
        <v>0.225869158878504</v>
      </c>
      <c r="F118" s="2">
        <v>30.0</v>
      </c>
      <c r="G118" s="2">
        <v>35.0</v>
      </c>
      <c r="H118" s="3">
        <v>14.4711401869158</v>
      </c>
      <c r="I118" s="3">
        <v>8.90139172196259</v>
      </c>
    </row>
    <row r="119">
      <c r="A119" s="1" t="s">
        <v>117</v>
      </c>
      <c r="B119" s="1">
        <v>111.0</v>
      </c>
      <c r="C119" s="1">
        <v>846.0</v>
      </c>
      <c r="D119" s="1">
        <v>17.0</v>
      </c>
      <c r="E119" s="8">
        <v>0.229675675675675</v>
      </c>
      <c r="F119" s="2">
        <v>24.0</v>
      </c>
      <c r="G119" s="2">
        <v>29.0</v>
      </c>
      <c r="H119" s="3">
        <v>10.9005225225225</v>
      </c>
      <c r="I119" s="3">
        <v>7.42748703741273</v>
      </c>
    </row>
    <row r="120">
      <c r="A120" s="1" t="s">
        <v>170</v>
      </c>
      <c r="B120" s="1">
        <v>98.0</v>
      </c>
      <c r="C120" s="1">
        <v>1167.0</v>
      </c>
      <c r="D120" s="1">
        <v>29.0</v>
      </c>
      <c r="E120" s="8">
        <v>0.230204081632653</v>
      </c>
      <c r="F120" s="2">
        <v>39.0</v>
      </c>
      <c r="G120" s="2">
        <v>47.0</v>
      </c>
      <c r="H120" s="3">
        <v>18.7084693877551</v>
      </c>
      <c r="I120" s="3">
        <v>12.0185269269557</v>
      </c>
    </row>
    <row r="121">
      <c r="A121" s="1" t="s">
        <v>190</v>
      </c>
      <c r="B121" s="1">
        <v>37.0</v>
      </c>
      <c r="C121" s="1">
        <v>540.0</v>
      </c>
      <c r="D121" s="1">
        <v>13.0</v>
      </c>
      <c r="E121" s="8">
        <v>0.231567567567567</v>
      </c>
      <c r="F121" s="2">
        <v>19.0</v>
      </c>
      <c r="G121" s="2">
        <v>26.0</v>
      </c>
      <c r="H121" s="3">
        <v>7.88</v>
      </c>
      <c r="I121" s="3">
        <v>6.36732197938734</v>
      </c>
    </row>
    <row r="122">
      <c r="A122" s="1" t="s">
        <v>186</v>
      </c>
      <c r="B122" s="1">
        <v>123.0</v>
      </c>
      <c r="C122" s="1">
        <v>1025.0</v>
      </c>
      <c r="D122" s="1">
        <v>17.0</v>
      </c>
      <c r="E122" s="8">
        <v>0.236910569105691</v>
      </c>
      <c r="F122" s="2">
        <v>24.0</v>
      </c>
      <c r="G122" s="2">
        <v>30.0</v>
      </c>
      <c r="H122" s="3">
        <v>10.9386178861788</v>
      </c>
      <c r="I122" s="3">
        <v>7.49440038389674</v>
      </c>
    </row>
    <row r="123">
      <c r="A123" s="1" t="s">
        <v>78</v>
      </c>
      <c r="B123" s="1">
        <v>103.0</v>
      </c>
      <c r="C123" s="1">
        <v>1419.0</v>
      </c>
      <c r="D123" s="1">
        <v>24.0</v>
      </c>
      <c r="E123" s="8">
        <v>0.23926213592233</v>
      </c>
      <c r="F123" s="2">
        <v>34.0</v>
      </c>
      <c r="G123" s="2">
        <v>40.0</v>
      </c>
      <c r="H123" s="3">
        <v>15.7654174757281</v>
      </c>
      <c r="I123" s="3">
        <v>10.2846147782206</v>
      </c>
    </row>
    <row r="124">
      <c r="A124" s="1" t="s">
        <v>187</v>
      </c>
      <c r="B124" s="1">
        <v>99.0</v>
      </c>
      <c r="C124" s="1">
        <v>905.0</v>
      </c>
      <c r="D124" s="1">
        <v>19.0</v>
      </c>
      <c r="E124" s="8">
        <v>0.239373737373737</v>
      </c>
      <c r="F124" s="2">
        <v>27.0</v>
      </c>
      <c r="G124" s="2">
        <v>34.0</v>
      </c>
      <c r="H124" s="3">
        <v>12.280909090909</v>
      </c>
      <c r="I124" s="3">
        <v>8.4588713327523</v>
      </c>
    </row>
    <row r="125">
      <c r="A125" s="1" t="s">
        <v>179</v>
      </c>
      <c r="B125" s="1">
        <v>119.0</v>
      </c>
      <c r="C125" s="1">
        <v>1445.0</v>
      </c>
      <c r="D125" s="1">
        <v>25.0</v>
      </c>
      <c r="E125" s="8">
        <v>0.2430756302521</v>
      </c>
      <c r="F125" s="2">
        <v>37.0</v>
      </c>
      <c r="G125" s="2">
        <v>45.0</v>
      </c>
      <c r="H125" s="3">
        <v>16.3481344537815</v>
      </c>
      <c r="I125" s="3">
        <v>11.3764571458783</v>
      </c>
    </row>
    <row r="126">
      <c r="A126" s="1" t="s">
        <v>169</v>
      </c>
      <c r="B126" s="1">
        <v>114.0</v>
      </c>
      <c r="C126" s="1">
        <v>818.0</v>
      </c>
      <c r="D126" s="1">
        <v>14.0</v>
      </c>
      <c r="E126" s="8">
        <v>0.243280701754385</v>
      </c>
      <c r="F126" s="2">
        <v>22.0</v>
      </c>
      <c r="G126" s="2">
        <v>27.0</v>
      </c>
      <c r="H126" s="3">
        <v>8.70964912280701</v>
      </c>
      <c r="I126" s="3">
        <v>6.94421719911352</v>
      </c>
    </row>
    <row r="127">
      <c r="A127" s="1" t="s">
        <v>139</v>
      </c>
      <c r="B127" s="1">
        <v>98.0</v>
      </c>
      <c r="C127" s="1">
        <v>1270.0</v>
      </c>
      <c r="D127" s="1">
        <v>47.0</v>
      </c>
      <c r="E127" s="8">
        <v>0.243918367346938</v>
      </c>
      <c r="F127" s="2">
        <v>62.0</v>
      </c>
      <c r="G127" s="2">
        <v>72.0</v>
      </c>
      <c r="H127" s="3">
        <v>31.4342040816326</v>
      </c>
      <c r="I127" s="3">
        <v>18.9151218384242</v>
      </c>
    </row>
    <row r="128">
      <c r="A128" s="1" t="s">
        <v>134</v>
      </c>
      <c r="B128" s="1">
        <v>113.0</v>
      </c>
      <c r="C128" s="1">
        <v>1205.0</v>
      </c>
      <c r="D128" s="1">
        <v>23.0</v>
      </c>
      <c r="E128" s="8">
        <v>0.246814159292035</v>
      </c>
      <c r="F128" s="2">
        <v>33.0</v>
      </c>
      <c r="G128" s="2">
        <v>40.0</v>
      </c>
      <c r="H128" s="3">
        <v>15.0111327433628</v>
      </c>
      <c r="I128" s="3">
        <v>10.3282412020397</v>
      </c>
    </row>
    <row r="129">
      <c r="A129" s="1" t="s">
        <v>123</v>
      </c>
      <c r="B129" s="1">
        <v>117.0</v>
      </c>
      <c r="C129" s="1">
        <v>1156.0</v>
      </c>
      <c r="D129" s="1">
        <v>28.0</v>
      </c>
      <c r="E129" s="8">
        <v>0.272735042735042</v>
      </c>
      <c r="F129" s="2">
        <v>38.0</v>
      </c>
      <c r="G129" s="2">
        <v>46.0</v>
      </c>
      <c r="H129" s="3">
        <v>19.1622393162393</v>
      </c>
      <c r="I129" s="3">
        <v>11.8675029859787</v>
      </c>
    </row>
    <row r="130">
      <c r="A130" s="1" t="s">
        <v>120</v>
      </c>
      <c r="B130" s="1">
        <v>77.0</v>
      </c>
      <c r="C130" s="1">
        <v>977.0</v>
      </c>
      <c r="D130" s="1">
        <v>12.0</v>
      </c>
      <c r="E130" s="8">
        <v>0.274493506493506</v>
      </c>
      <c r="F130" s="2">
        <v>19.0</v>
      </c>
      <c r="G130" s="2">
        <v>24.0</v>
      </c>
      <c r="H130" s="3">
        <v>8.0204935064935</v>
      </c>
      <c r="I130" s="3">
        <v>6.02676461333137</v>
      </c>
    </row>
    <row r="131">
      <c r="A131" s="1" t="s">
        <v>151</v>
      </c>
      <c r="B131" s="1">
        <v>78.0</v>
      </c>
      <c r="C131" s="1">
        <v>927.0</v>
      </c>
      <c r="D131" s="1">
        <v>18.0</v>
      </c>
      <c r="E131" s="8">
        <v>0.274564102564102</v>
      </c>
      <c r="F131" s="2">
        <v>27.0</v>
      </c>
      <c r="G131" s="2">
        <v>33.0</v>
      </c>
      <c r="H131" s="3">
        <v>12.3907435897435</v>
      </c>
      <c r="I131" s="3">
        <v>8.44408222220031</v>
      </c>
    </row>
    <row r="132">
      <c r="A132" s="1" t="s">
        <v>142</v>
      </c>
      <c r="B132" s="1">
        <v>92.0</v>
      </c>
      <c r="C132" s="1">
        <v>1467.0</v>
      </c>
      <c r="D132" s="1">
        <v>50.0</v>
      </c>
      <c r="E132" s="8">
        <v>0.275521739130434</v>
      </c>
      <c r="F132" s="2">
        <v>72.0</v>
      </c>
      <c r="G132" s="2">
        <v>82.0</v>
      </c>
      <c r="H132" s="3">
        <v>34.4154565217391</v>
      </c>
      <c r="I132" s="3">
        <v>21.6846555698469</v>
      </c>
    </row>
    <row r="133">
      <c r="A133" s="1" t="s">
        <v>158</v>
      </c>
      <c r="B133" s="1">
        <v>140.0</v>
      </c>
      <c r="C133" s="1">
        <v>1266.0</v>
      </c>
      <c r="D133" s="1">
        <v>25.0</v>
      </c>
      <c r="E133" s="8">
        <v>0.275642857142857</v>
      </c>
      <c r="F133" s="2">
        <v>37.0</v>
      </c>
      <c r="G133" s="2">
        <v>45.0</v>
      </c>
      <c r="H133" s="3">
        <v>17.4185142857142</v>
      </c>
      <c r="I133" s="3">
        <v>11.3885325816841</v>
      </c>
    </row>
    <row r="134">
      <c r="A134" s="1" t="s">
        <v>168</v>
      </c>
      <c r="B134" s="1">
        <v>71.0</v>
      </c>
      <c r="C134" s="1">
        <v>1154.0</v>
      </c>
      <c r="D134" s="1">
        <v>55.0</v>
      </c>
      <c r="E134" s="8">
        <v>0.27569014084507</v>
      </c>
      <c r="F134" s="2">
        <v>77.0</v>
      </c>
      <c r="G134" s="2">
        <v>89.0</v>
      </c>
      <c r="H134" s="3">
        <v>38.6342253521126</v>
      </c>
      <c r="I134" s="3">
        <v>23.2074486683843</v>
      </c>
    </row>
    <row r="135">
      <c r="A135" s="1" t="s">
        <v>111</v>
      </c>
      <c r="B135" s="1">
        <v>95.0</v>
      </c>
      <c r="C135" s="1">
        <v>1129.0</v>
      </c>
      <c r="D135" s="1">
        <v>23.0</v>
      </c>
      <c r="E135" s="8">
        <v>0.276442105263157</v>
      </c>
      <c r="F135" s="2">
        <v>36.0</v>
      </c>
      <c r="G135" s="2">
        <v>44.0</v>
      </c>
      <c r="H135" s="3">
        <v>15.7365684210526</v>
      </c>
      <c r="I135" s="3">
        <v>11.185846960524</v>
      </c>
    </row>
    <row r="136">
      <c r="A136" s="1" t="s">
        <v>140</v>
      </c>
      <c r="B136" s="1">
        <v>93.0</v>
      </c>
      <c r="C136" s="1">
        <v>1043.0</v>
      </c>
      <c r="D136" s="1">
        <v>19.0</v>
      </c>
      <c r="E136" s="8">
        <v>0.276774193548387</v>
      </c>
      <c r="F136" s="2">
        <v>28.0</v>
      </c>
      <c r="G136" s="2">
        <v>35.0</v>
      </c>
      <c r="H136" s="3">
        <v>13.3189677419354</v>
      </c>
      <c r="I136" s="3">
        <v>8.63130968575641</v>
      </c>
    </row>
    <row r="137">
      <c r="A137" s="1" t="s">
        <v>148</v>
      </c>
      <c r="B137" s="1">
        <v>110.0</v>
      </c>
      <c r="C137" s="1">
        <v>1291.0</v>
      </c>
      <c r="D137" s="1">
        <v>25.0</v>
      </c>
      <c r="E137" s="8">
        <v>0.279290909090909</v>
      </c>
      <c r="F137" s="2">
        <v>39.0</v>
      </c>
      <c r="G137" s="2">
        <v>48.0</v>
      </c>
      <c r="H137" s="3">
        <v>17.5204545454545</v>
      </c>
      <c r="I137" s="3">
        <v>12.0335629036883</v>
      </c>
    </row>
    <row r="138">
      <c r="A138" s="1" t="s">
        <v>178</v>
      </c>
      <c r="B138" s="1">
        <v>94.0</v>
      </c>
      <c r="C138" s="1">
        <v>1583.0</v>
      </c>
      <c r="D138" s="1">
        <v>27.0</v>
      </c>
      <c r="E138" s="8">
        <v>0.286340425531914</v>
      </c>
      <c r="F138" s="2">
        <v>42.0</v>
      </c>
      <c r="G138" s="2">
        <v>52.0</v>
      </c>
      <c r="H138" s="3">
        <v>18.9244893617021</v>
      </c>
      <c r="I138" s="3">
        <v>13.2243754731231</v>
      </c>
    </row>
    <row r="139">
      <c r="A139" s="1" t="s">
        <v>180</v>
      </c>
      <c r="B139" s="1">
        <v>95.0</v>
      </c>
      <c r="C139" s="1">
        <v>804.0</v>
      </c>
      <c r="D139" s="1">
        <v>11.0</v>
      </c>
      <c r="E139" s="8">
        <v>0.297684210526315</v>
      </c>
      <c r="F139" s="2">
        <v>17.0</v>
      </c>
      <c r="G139" s="2">
        <v>21.0</v>
      </c>
      <c r="H139" s="3">
        <v>7.72524210526315</v>
      </c>
      <c r="I139" s="3">
        <v>5.37727603652295</v>
      </c>
    </row>
    <row r="140">
      <c r="A140" s="1" t="s">
        <v>119</v>
      </c>
      <c r="B140" s="1">
        <v>130.0</v>
      </c>
      <c r="C140" s="1">
        <v>1835.0</v>
      </c>
      <c r="D140" s="1">
        <v>46.0</v>
      </c>
      <c r="E140" s="8">
        <v>0.309692307692307</v>
      </c>
      <c r="F140" s="2">
        <v>69.0</v>
      </c>
      <c r="G140" s="2">
        <v>82.0</v>
      </c>
      <c r="H140" s="3">
        <v>34.5905846153846</v>
      </c>
      <c r="I140" s="3">
        <v>20.5464294625179</v>
      </c>
    </row>
    <row r="141">
      <c r="A141" s="1" t="s">
        <v>167</v>
      </c>
      <c r="B141" s="1">
        <v>107.0</v>
      </c>
      <c r="C141" s="1">
        <v>1301.0</v>
      </c>
      <c r="D141" s="1">
        <v>29.0</v>
      </c>
      <c r="E141" s="8">
        <v>0.314168224299065</v>
      </c>
      <c r="F141" s="2">
        <v>45.0</v>
      </c>
      <c r="G141" s="2">
        <v>54.0</v>
      </c>
      <c r="H141" s="3">
        <v>21.6464485981308</v>
      </c>
      <c r="I141" s="3">
        <v>13.4892255898444</v>
      </c>
    </row>
    <row r="142">
      <c r="A142" s="1" t="s">
        <v>155</v>
      </c>
      <c r="B142" s="1">
        <v>136.0</v>
      </c>
      <c r="C142" s="1">
        <v>1113.0</v>
      </c>
      <c r="D142" s="1">
        <v>28.0</v>
      </c>
      <c r="E142" s="8">
        <v>0.335382352941176</v>
      </c>
      <c r="F142" s="2">
        <v>47.0</v>
      </c>
      <c r="G142" s="2">
        <v>56.0</v>
      </c>
      <c r="H142" s="3">
        <v>21.0565882352941</v>
      </c>
      <c r="I142" s="3">
        <v>14.8671470860252</v>
      </c>
    </row>
    <row r="143">
      <c r="A143" s="1" t="s">
        <v>132</v>
      </c>
      <c r="B143" s="1">
        <v>84.0</v>
      </c>
      <c r="C143" s="1">
        <v>1015.0</v>
      </c>
      <c r="D143" s="1">
        <v>26.0</v>
      </c>
      <c r="E143" s="8">
        <v>0.354357142857142</v>
      </c>
      <c r="F143" s="2">
        <v>42.0</v>
      </c>
      <c r="G143" s="2">
        <v>51.0</v>
      </c>
      <c r="H143" s="3">
        <v>20.1067857142857</v>
      </c>
      <c r="I143" s="3">
        <v>12.8906574383224</v>
      </c>
    </row>
    <row r="144">
      <c r="A144" s="1" t="s">
        <v>89</v>
      </c>
      <c r="B144" s="1">
        <v>105.0</v>
      </c>
      <c r="C144" s="1">
        <v>1223.0</v>
      </c>
      <c r="D144" s="1">
        <v>19.0</v>
      </c>
      <c r="E144" s="8">
        <v>0.376514285714285</v>
      </c>
      <c r="F144" s="2">
        <v>32.0</v>
      </c>
      <c r="G144" s="2">
        <v>39.0</v>
      </c>
      <c r="H144" s="3">
        <v>15.5415428571428</v>
      </c>
      <c r="I144" s="3">
        <v>9.75887034351295</v>
      </c>
    </row>
    <row r="145">
      <c r="A145" s="1" t="s">
        <v>185</v>
      </c>
      <c r="B145" s="1">
        <v>102.0</v>
      </c>
      <c r="C145" s="1">
        <v>1501.0</v>
      </c>
      <c r="D145" s="1">
        <v>41.0</v>
      </c>
      <c r="E145" s="8">
        <v>0.398627450980392</v>
      </c>
      <c r="F145" s="2">
        <v>69.0</v>
      </c>
      <c r="G145" s="2">
        <v>81.0</v>
      </c>
      <c r="H145" s="3">
        <v>33.9758431372549</v>
      </c>
      <c r="I145" s="3">
        <v>21.526084604655</v>
      </c>
    </row>
    <row r="146">
      <c r="A146" s="1" t="s">
        <v>92</v>
      </c>
      <c r="B146" s="1">
        <v>85.0</v>
      </c>
      <c r="C146" s="1">
        <v>764.0</v>
      </c>
      <c r="D146" s="1">
        <v>9.0</v>
      </c>
      <c r="E146" s="8">
        <v>0.399388235294117</v>
      </c>
      <c r="F146" s="2">
        <v>18.0</v>
      </c>
      <c r="G146" s="2">
        <v>24.0</v>
      </c>
      <c r="H146" s="3">
        <v>7.70141176470588</v>
      </c>
      <c r="I146" s="3">
        <v>5.61055080717228</v>
      </c>
    </row>
    <row r="147">
      <c r="A147" s="1" t="s">
        <v>166</v>
      </c>
      <c r="B147" s="1">
        <v>129.0</v>
      </c>
      <c r="C147" s="1">
        <v>1420.0</v>
      </c>
      <c r="D147" s="1">
        <v>43.0</v>
      </c>
      <c r="E147" s="8">
        <v>0.403147286821705</v>
      </c>
      <c r="F147" s="2">
        <v>81.0</v>
      </c>
      <c r="G147" s="2">
        <v>94.0</v>
      </c>
      <c r="H147" s="3">
        <v>37.0531317829457</v>
      </c>
      <c r="I147" s="3">
        <v>25.2385096789032</v>
      </c>
    </row>
    <row r="148">
      <c r="A148" s="1" t="s">
        <v>182</v>
      </c>
      <c r="B148" s="1">
        <v>64.0</v>
      </c>
      <c r="C148" s="1">
        <v>757.0</v>
      </c>
      <c r="D148" s="1">
        <v>14.0</v>
      </c>
      <c r="E148" s="8">
        <v>0.4090625</v>
      </c>
      <c r="F148" s="2">
        <v>24.0</v>
      </c>
      <c r="G148" s="2">
        <v>30.0</v>
      </c>
      <c r="H148" s="3">
        <v>12.09359375</v>
      </c>
      <c r="I148" s="3">
        <v>7.11546003150611</v>
      </c>
    </row>
    <row r="149">
      <c r="A149" s="1" t="s">
        <v>161</v>
      </c>
      <c r="B149" s="1">
        <v>105.0</v>
      </c>
      <c r="C149" s="1">
        <v>921.0</v>
      </c>
      <c r="D149" s="1">
        <v>13.0</v>
      </c>
      <c r="E149" s="8">
        <v>0.431942857142857</v>
      </c>
      <c r="F149" s="2">
        <v>26.0</v>
      </c>
      <c r="G149" s="2">
        <v>32.0</v>
      </c>
      <c r="H149" s="3">
        <v>11.7381142857142</v>
      </c>
      <c r="I149" s="3">
        <v>8.05733777764897</v>
      </c>
    </row>
    <row r="150">
      <c r="A150" s="1" t="s">
        <v>176</v>
      </c>
      <c r="B150" s="1">
        <v>115.0</v>
      </c>
      <c r="C150" s="1">
        <v>1393.0</v>
      </c>
      <c r="D150" s="1">
        <v>28.0</v>
      </c>
      <c r="E150" s="8">
        <v>0.432208695652173</v>
      </c>
      <c r="F150" s="2">
        <v>50.0</v>
      </c>
      <c r="G150" s="2">
        <v>59.0</v>
      </c>
      <c r="H150" s="3">
        <v>24.5366434782608</v>
      </c>
      <c r="I150" s="3">
        <v>15.1114743574378</v>
      </c>
    </row>
    <row r="151">
      <c r="A151" s="1" t="s">
        <v>188</v>
      </c>
      <c r="B151" s="1">
        <v>73.0</v>
      </c>
      <c r="C151" s="1">
        <v>543.0</v>
      </c>
      <c r="D151" s="1">
        <v>9.0</v>
      </c>
      <c r="E151" s="8">
        <v>0.477972602739726</v>
      </c>
      <c r="F151" s="2">
        <v>20.0</v>
      </c>
      <c r="G151" s="2">
        <v>24.0</v>
      </c>
      <c r="H151" s="3">
        <v>8.75953424657534</v>
      </c>
      <c r="I151" s="3">
        <v>6.16524157018118</v>
      </c>
    </row>
    <row r="152">
      <c r="A152" s="1" t="s">
        <v>153</v>
      </c>
      <c r="B152" s="1">
        <v>113.0</v>
      </c>
      <c r="C152" s="1">
        <v>888.0</v>
      </c>
      <c r="D152" s="1">
        <v>8.0</v>
      </c>
      <c r="E152" s="8">
        <v>0.489823008849557</v>
      </c>
      <c r="F152" s="2">
        <v>17.0</v>
      </c>
      <c r="G152" s="2">
        <v>21.0</v>
      </c>
      <c r="H152" s="3">
        <v>7.88221238938053</v>
      </c>
      <c r="I152" s="3">
        <v>5.23083966499724</v>
      </c>
    </row>
    <row r="153">
      <c r="A153" s="1" t="s">
        <v>183</v>
      </c>
      <c r="B153" s="1">
        <v>58.0</v>
      </c>
      <c r="C153" s="1">
        <v>715.0</v>
      </c>
      <c r="D153" s="1">
        <v>10.0</v>
      </c>
      <c r="E153" s="8">
        <v>0.562448275862068</v>
      </c>
      <c r="F153" s="2">
        <v>23.0</v>
      </c>
      <c r="G153" s="2">
        <v>29.0</v>
      </c>
      <c r="H153" s="3">
        <v>11.0835172413793</v>
      </c>
      <c r="I153" s="3">
        <v>7.14560805849053</v>
      </c>
    </row>
    <row r="154">
      <c r="A154" s="1" t="s">
        <v>189</v>
      </c>
      <c r="B154" s="1">
        <v>68.0</v>
      </c>
      <c r="C154" s="1">
        <v>877.0</v>
      </c>
      <c r="D154" s="1">
        <v>8.0</v>
      </c>
      <c r="E154" s="8">
        <v>0.665</v>
      </c>
      <c r="F154" s="2">
        <v>23.0</v>
      </c>
      <c r="G154" s="2">
        <v>29.0</v>
      </c>
      <c r="H154" s="3">
        <v>11.1630882352941</v>
      </c>
      <c r="I154" s="3">
        <v>7.04663181062892</v>
      </c>
    </row>
    <row r="155">
      <c r="E155" s="13"/>
      <c r="F155" s="15"/>
      <c r="G155" s="15"/>
      <c r="H155" s="16"/>
      <c r="I155" s="16"/>
    </row>
    <row r="156">
      <c r="E156" s="13"/>
      <c r="F156" s="15"/>
      <c r="G156" s="15"/>
      <c r="H156" s="16"/>
      <c r="I156" s="16"/>
    </row>
    <row r="157">
      <c r="E157" s="13"/>
      <c r="F157" s="15"/>
      <c r="G157" s="15"/>
      <c r="H157" s="16"/>
      <c r="I157" s="16"/>
    </row>
    <row r="158">
      <c r="E158" s="13"/>
      <c r="F158" s="15"/>
      <c r="G158" s="15"/>
      <c r="H158" s="16"/>
      <c r="I158" s="16"/>
    </row>
    <row r="159">
      <c r="E159" s="13"/>
      <c r="F159" s="15"/>
      <c r="G159" s="15"/>
      <c r="H159" s="16"/>
      <c r="I159" s="16"/>
    </row>
    <row r="160">
      <c r="E160" s="13"/>
      <c r="F160" s="15"/>
      <c r="G160" s="15"/>
      <c r="H160" s="16"/>
      <c r="I160" s="16"/>
    </row>
    <row r="161">
      <c r="E161" s="13"/>
      <c r="F161" s="15"/>
      <c r="G161" s="15"/>
      <c r="H161" s="16"/>
      <c r="I161" s="16"/>
    </row>
    <row r="162">
      <c r="E162" s="13"/>
      <c r="F162" s="15"/>
      <c r="G162" s="15"/>
      <c r="H162" s="16"/>
      <c r="I162" s="16"/>
    </row>
    <row r="163">
      <c r="E163" s="13"/>
      <c r="F163" s="15"/>
      <c r="G163" s="15"/>
      <c r="H163" s="16"/>
      <c r="I163" s="16"/>
    </row>
    <row r="164">
      <c r="E164" s="13"/>
      <c r="F164" s="15"/>
      <c r="G164" s="15"/>
      <c r="H164" s="16"/>
      <c r="I164" s="16"/>
    </row>
    <row r="165">
      <c r="E165" s="13"/>
      <c r="F165" s="15"/>
      <c r="G165" s="15"/>
      <c r="H165" s="16"/>
      <c r="I165" s="16"/>
    </row>
    <row r="166">
      <c r="E166" s="13"/>
      <c r="F166" s="15"/>
      <c r="G166" s="15"/>
      <c r="H166" s="16"/>
      <c r="I166" s="16"/>
    </row>
    <row r="167">
      <c r="E167" s="13"/>
      <c r="F167" s="15"/>
      <c r="G167" s="15"/>
      <c r="H167" s="16"/>
      <c r="I167" s="16"/>
    </row>
    <row r="168">
      <c r="E168" s="13"/>
      <c r="F168" s="15"/>
      <c r="G168" s="15"/>
      <c r="H168" s="16"/>
      <c r="I168" s="16"/>
    </row>
    <row r="169">
      <c r="E169" s="13"/>
      <c r="F169" s="15"/>
      <c r="G169" s="15"/>
      <c r="H169" s="16"/>
      <c r="I169" s="16"/>
    </row>
    <row r="170">
      <c r="E170" s="13"/>
      <c r="F170" s="15"/>
      <c r="G170" s="15"/>
      <c r="H170" s="16"/>
      <c r="I170" s="16"/>
    </row>
    <row r="171">
      <c r="E171" s="13"/>
      <c r="F171" s="15"/>
      <c r="G171" s="15"/>
      <c r="H171" s="16"/>
      <c r="I171" s="16"/>
    </row>
    <row r="172">
      <c r="E172" s="13"/>
      <c r="F172" s="15"/>
      <c r="G172" s="15"/>
      <c r="H172" s="16"/>
      <c r="I172" s="16"/>
    </row>
    <row r="173">
      <c r="E173" s="13"/>
      <c r="F173" s="15"/>
      <c r="G173" s="15"/>
      <c r="H173" s="16"/>
      <c r="I173" s="16"/>
    </row>
    <row r="174">
      <c r="E174" s="13"/>
      <c r="F174" s="15"/>
      <c r="G174" s="15"/>
      <c r="H174" s="16"/>
      <c r="I174" s="16"/>
    </row>
    <row r="175">
      <c r="E175" s="13"/>
      <c r="F175" s="15"/>
      <c r="G175" s="15"/>
      <c r="H175" s="16"/>
      <c r="I175" s="16"/>
    </row>
    <row r="176">
      <c r="E176" s="13"/>
      <c r="F176" s="15"/>
      <c r="G176" s="15"/>
      <c r="H176" s="16"/>
      <c r="I176" s="16"/>
    </row>
    <row r="177">
      <c r="E177" s="13"/>
      <c r="F177" s="15"/>
      <c r="G177" s="15"/>
      <c r="H177" s="16"/>
      <c r="I177" s="16"/>
    </row>
    <row r="178">
      <c r="E178" s="13"/>
      <c r="F178" s="15"/>
      <c r="G178" s="15"/>
      <c r="H178" s="16"/>
      <c r="I178" s="16"/>
    </row>
    <row r="179">
      <c r="E179" s="13"/>
      <c r="F179" s="15"/>
      <c r="G179" s="15"/>
      <c r="H179" s="16"/>
      <c r="I179" s="16"/>
    </row>
    <row r="180">
      <c r="E180" s="13"/>
      <c r="F180" s="15"/>
      <c r="G180" s="15"/>
      <c r="H180" s="16"/>
      <c r="I180" s="16"/>
    </row>
    <row r="181">
      <c r="E181" s="13"/>
      <c r="F181" s="15"/>
      <c r="G181" s="15"/>
      <c r="H181" s="16"/>
      <c r="I181" s="16"/>
    </row>
    <row r="182">
      <c r="E182" s="13"/>
      <c r="F182" s="15"/>
      <c r="G182" s="15"/>
      <c r="H182" s="16"/>
      <c r="I182" s="16"/>
    </row>
    <row r="183">
      <c r="E183" s="13"/>
      <c r="F183" s="15"/>
      <c r="G183" s="15"/>
      <c r="H183" s="16"/>
      <c r="I183" s="16"/>
    </row>
    <row r="184">
      <c r="E184" s="13"/>
      <c r="F184" s="15"/>
      <c r="G184" s="15"/>
      <c r="H184" s="16"/>
      <c r="I184" s="16"/>
    </row>
    <row r="185">
      <c r="E185" s="13"/>
      <c r="F185" s="15"/>
      <c r="G185" s="15"/>
      <c r="H185" s="16"/>
      <c r="I185" s="16"/>
    </row>
    <row r="186">
      <c r="E186" s="13"/>
      <c r="F186" s="15"/>
      <c r="G186" s="15"/>
      <c r="H186" s="16"/>
      <c r="I186" s="16"/>
    </row>
    <row r="187">
      <c r="E187" s="13"/>
      <c r="F187" s="15"/>
      <c r="G187" s="15"/>
      <c r="H187" s="16"/>
      <c r="I187" s="16"/>
    </row>
    <row r="188">
      <c r="E188" s="13"/>
      <c r="F188" s="15"/>
      <c r="G188" s="15"/>
      <c r="H188" s="16"/>
      <c r="I188" s="16"/>
    </row>
    <row r="189">
      <c r="E189" s="13"/>
      <c r="F189" s="15"/>
      <c r="G189" s="15"/>
      <c r="H189" s="16"/>
      <c r="I189" s="16"/>
    </row>
    <row r="190">
      <c r="E190" s="13"/>
      <c r="F190" s="15"/>
      <c r="G190" s="15"/>
      <c r="H190" s="16"/>
      <c r="I190" s="16"/>
    </row>
    <row r="191">
      <c r="E191" s="13"/>
      <c r="F191" s="15"/>
      <c r="G191" s="15"/>
      <c r="H191" s="16"/>
      <c r="I191" s="16"/>
    </row>
    <row r="192">
      <c r="E192" s="13"/>
      <c r="F192" s="15"/>
      <c r="G192" s="15"/>
      <c r="H192" s="16"/>
      <c r="I192" s="16"/>
    </row>
    <row r="193">
      <c r="E193" s="13"/>
      <c r="F193" s="15"/>
      <c r="G193" s="15"/>
      <c r="H193" s="16"/>
      <c r="I193" s="16"/>
    </row>
    <row r="194">
      <c r="E194" s="13"/>
      <c r="F194" s="15"/>
      <c r="G194" s="15"/>
      <c r="H194" s="16"/>
      <c r="I194" s="16"/>
    </row>
    <row r="195">
      <c r="E195" s="13"/>
      <c r="F195" s="15"/>
      <c r="G195" s="15"/>
      <c r="H195" s="16"/>
      <c r="I195" s="16"/>
    </row>
    <row r="196">
      <c r="E196" s="13"/>
      <c r="F196" s="15"/>
      <c r="G196" s="15"/>
      <c r="H196" s="16"/>
      <c r="I196" s="16"/>
    </row>
    <row r="197">
      <c r="E197" s="13"/>
      <c r="F197" s="15"/>
      <c r="G197" s="15"/>
      <c r="H197" s="16"/>
      <c r="I197" s="16"/>
    </row>
    <row r="198">
      <c r="E198" s="13"/>
      <c r="F198" s="15"/>
      <c r="G198" s="15"/>
      <c r="H198" s="16"/>
      <c r="I198" s="16"/>
    </row>
    <row r="199">
      <c r="E199" s="13"/>
      <c r="F199" s="15"/>
      <c r="G199" s="15"/>
      <c r="H199" s="16"/>
      <c r="I199" s="16"/>
    </row>
    <row r="200">
      <c r="E200" s="13"/>
      <c r="F200" s="15"/>
      <c r="G200" s="15"/>
      <c r="H200" s="16"/>
      <c r="I200" s="16"/>
    </row>
    <row r="201">
      <c r="E201" s="13"/>
      <c r="F201" s="15"/>
      <c r="G201" s="15"/>
      <c r="H201" s="16"/>
      <c r="I201" s="16"/>
    </row>
    <row r="202">
      <c r="E202" s="13"/>
      <c r="F202" s="15"/>
      <c r="G202" s="15"/>
      <c r="H202" s="16"/>
      <c r="I202" s="16"/>
    </row>
    <row r="203">
      <c r="E203" s="13"/>
      <c r="F203" s="15"/>
      <c r="G203" s="15"/>
      <c r="H203" s="16"/>
      <c r="I203" s="16"/>
    </row>
    <row r="204">
      <c r="E204" s="13"/>
      <c r="F204" s="15"/>
      <c r="G204" s="15"/>
      <c r="H204" s="16"/>
      <c r="I204" s="16"/>
    </row>
    <row r="205">
      <c r="E205" s="13"/>
      <c r="F205" s="15"/>
      <c r="G205" s="15"/>
      <c r="H205" s="16"/>
      <c r="I205" s="16"/>
    </row>
    <row r="206">
      <c r="E206" s="13"/>
      <c r="F206" s="15"/>
      <c r="G206" s="15"/>
      <c r="H206" s="16"/>
      <c r="I206" s="16"/>
    </row>
    <row r="207">
      <c r="E207" s="13"/>
      <c r="F207" s="15"/>
      <c r="G207" s="15"/>
      <c r="H207" s="16"/>
      <c r="I207" s="16"/>
    </row>
    <row r="208">
      <c r="E208" s="13"/>
      <c r="F208" s="15"/>
      <c r="G208" s="15"/>
      <c r="H208" s="16"/>
      <c r="I208" s="16"/>
    </row>
    <row r="209">
      <c r="E209" s="13"/>
      <c r="F209" s="15"/>
      <c r="G209" s="15"/>
      <c r="H209" s="16"/>
      <c r="I209" s="16"/>
    </row>
    <row r="210">
      <c r="E210" s="13"/>
      <c r="F210" s="15"/>
      <c r="G210" s="15"/>
      <c r="H210" s="16"/>
      <c r="I210" s="16"/>
    </row>
    <row r="211">
      <c r="E211" s="13"/>
      <c r="F211" s="15"/>
      <c r="G211" s="15"/>
      <c r="H211" s="16"/>
      <c r="I211" s="16"/>
    </row>
    <row r="212">
      <c r="E212" s="13"/>
      <c r="F212" s="15"/>
      <c r="G212" s="15"/>
      <c r="H212" s="16"/>
      <c r="I212" s="16"/>
    </row>
    <row r="213">
      <c r="E213" s="13"/>
      <c r="F213" s="15"/>
      <c r="G213" s="15"/>
      <c r="H213" s="16"/>
      <c r="I213" s="16"/>
    </row>
    <row r="214">
      <c r="E214" s="13"/>
      <c r="F214" s="15"/>
      <c r="G214" s="15"/>
      <c r="H214" s="16"/>
      <c r="I214" s="16"/>
    </row>
    <row r="215">
      <c r="E215" s="13"/>
      <c r="F215" s="15"/>
      <c r="G215" s="15"/>
      <c r="H215" s="16"/>
      <c r="I215" s="16"/>
    </row>
    <row r="216">
      <c r="E216" s="13"/>
      <c r="F216" s="15"/>
      <c r="G216" s="15"/>
      <c r="H216" s="16"/>
      <c r="I216" s="16"/>
    </row>
    <row r="217">
      <c r="E217" s="13"/>
      <c r="F217" s="15"/>
      <c r="G217" s="15"/>
      <c r="H217" s="16"/>
      <c r="I217" s="16"/>
    </row>
    <row r="218">
      <c r="E218" s="13"/>
      <c r="F218" s="15"/>
      <c r="G218" s="15"/>
      <c r="H218" s="16"/>
      <c r="I218" s="16"/>
    </row>
    <row r="219">
      <c r="E219" s="13"/>
      <c r="F219" s="15"/>
      <c r="G219" s="15"/>
      <c r="H219" s="16"/>
      <c r="I219" s="16"/>
    </row>
    <row r="220">
      <c r="E220" s="13"/>
      <c r="F220" s="15"/>
      <c r="G220" s="15"/>
      <c r="H220" s="16"/>
      <c r="I220" s="16"/>
    </row>
    <row r="221">
      <c r="E221" s="13"/>
      <c r="F221" s="15"/>
      <c r="G221" s="15"/>
      <c r="H221" s="16"/>
      <c r="I221" s="16"/>
    </row>
    <row r="222">
      <c r="E222" s="13"/>
      <c r="F222" s="15"/>
      <c r="G222" s="15"/>
      <c r="H222" s="16"/>
      <c r="I222" s="16"/>
    </row>
    <row r="223">
      <c r="E223" s="13"/>
      <c r="F223" s="15"/>
      <c r="G223" s="15"/>
      <c r="H223" s="16"/>
      <c r="I223" s="16"/>
    </row>
    <row r="224">
      <c r="E224" s="13"/>
      <c r="F224" s="15"/>
      <c r="G224" s="15"/>
      <c r="H224" s="16"/>
      <c r="I224" s="16"/>
    </row>
    <row r="225">
      <c r="E225" s="13"/>
      <c r="F225" s="15"/>
      <c r="G225" s="15"/>
      <c r="H225" s="16"/>
      <c r="I225" s="16"/>
    </row>
    <row r="226">
      <c r="E226" s="13"/>
      <c r="F226" s="15"/>
      <c r="G226" s="15"/>
      <c r="H226" s="16"/>
      <c r="I226" s="16"/>
    </row>
    <row r="227">
      <c r="E227" s="13"/>
      <c r="F227" s="15"/>
      <c r="G227" s="15"/>
      <c r="H227" s="16"/>
      <c r="I227" s="16"/>
    </row>
    <row r="228">
      <c r="E228" s="13"/>
      <c r="F228" s="15"/>
      <c r="G228" s="15"/>
      <c r="H228" s="16"/>
      <c r="I228" s="16"/>
    </row>
    <row r="229">
      <c r="E229" s="13"/>
      <c r="F229" s="15"/>
      <c r="G229" s="15"/>
      <c r="H229" s="16"/>
      <c r="I229" s="16"/>
    </row>
    <row r="230">
      <c r="E230" s="13"/>
      <c r="F230" s="15"/>
      <c r="G230" s="15"/>
      <c r="H230" s="16"/>
      <c r="I230" s="16"/>
    </row>
    <row r="231">
      <c r="E231" s="13"/>
      <c r="F231" s="15"/>
      <c r="G231" s="15"/>
      <c r="H231" s="16"/>
      <c r="I231" s="16"/>
    </row>
    <row r="232">
      <c r="E232" s="13"/>
      <c r="F232" s="15"/>
      <c r="G232" s="15"/>
      <c r="H232" s="16"/>
      <c r="I232" s="16"/>
    </row>
    <row r="233">
      <c r="E233" s="13"/>
      <c r="F233" s="15"/>
      <c r="G233" s="15"/>
      <c r="H233" s="16"/>
      <c r="I233" s="16"/>
    </row>
    <row r="234">
      <c r="E234" s="13"/>
      <c r="F234" s="15"/>
      <c r="G234" s="15"/>
      <c r="H234" s="16"/>
      <c r="I234" s="16"/>
    </row>
    <row r="235">
      <c r="E235" s="13"/>
      <c r="F235" s="15"/>
      <c r="G235" s="15"/>
      <c r="H235" s="16"/>
      <c r="I235" s="16"/>
    </row>
    <row r="236">
      <c r="E236" s="13"/>
      <c r="F236" s="15"/>
      <c r="G236" s="15"/>
      <c r="H236" s="16"/>
      <c r="I236" s="16"/>
    </row>
    <row r="237">
      <c r="E237" s="13"/>
      <c r="F237" s="15"/>
      <c r="G237" s="15"/>
      <c r="H237" s="16"/>
      <c r="I237" s="16"/>
    </row>
    <row r="238">
      <c r="E238" s="13"/>
      <c r="F238" s="15"/>
      <c r="G238" s="15"/>
      <c r="H238" s="16"/>
      <c r="I238" s="16"/>
    </row>
    <row r="239">
      <c r="E239" s="13"/>
      <c r="F239" s="15"/>
      <c r="G239" s="15"/>
      <c r="H239" s="16"/>
      <c r="I239" s="16"/>
    </row>
    <row r="240">
      <c r="E240" s="13"/>
      <c r="F240" s="15"/>
      <c r="G240" s="15"/>
      <c r="H240" s="16"/>
      <c r="I240" s="16"/>
    </row>
    <row r="241">
      <c r="E241" s="13"/>
      <c r="F241" s="15"/>
      <c r="G241" s="15"/>
      <c r="H241" s="16"/>
      <c r="I241" s="16"/>
    </row>
    <row r="242">
      <c r="E242" s="13"/>
      <c r="F242" s="15"/>
      <c r="G242" s="15"/>
      <c r="H242" s="16"/>
      <c r="I242" s="16"/>
    </row>
    <row r="243">
      <c r="E243" s="13"/>
      <c r="F243" s="15"/>
      <c r="G243" s="15"/>
      <c r="H243" s="16"/>
      <c r="I243" s="16"/>
    </row>
    <row r="244">
      <c r="E244" s="13"/>
      <c r="F244" s="15"/>
      <c r="G244" s="15"/>
      <c r="H244" s="16"/>
      <c r="I244" s="16"/>
    </row>
    <row r="245">
      <c r="E245" s="13"/>
      <c r="F245" s="15"/>
      <c r="G245" s="15"/>
      <c r="H245" s="16"/>
      <c r="I245" s="16"/>
    </row>
    <row r="246">
      <c r="E246" s="13"/>
      <c r="F246" s="15"/>
      <c r="G246" s="15"/>
      <c r="H246" s="16"/>
      <c r="I246" s="16"/>
    </row>
    <row r="247">
      <c r="E247" s="13"/>
      <c r="F247" s="15"/>
      <c r="G247" s="15"/>
      <c r="H247" s="16"/>
      <c r="I247" s="16"/>
    </row>
    <row r="248">
      <c r="E248" s="13"/>
      <c r="F248" s="15"/>
      <c r="G248" s="15"/>
      <c r="H248" s="16"/>
      <c r="I248" s="16"/>
    </row>
    <row r="249">
      <c r="E249" s="13"/>
      <c r="F249" s="15"/>
      <c r="G249" s="15"/>
      <c r="H249" s="16"/>
      <c r="I249" s="16"/>
    </row>
    <row r="250">
      <c r="E250" s="13"/>
      <c r="F250" s="15"/>
      <c r="G250" s="15"/>
      <c r="H250" s="16"/>
      <c r="I250" s="16"/>
    </row>
    <row r="251">
      <c r="E251" s="13"/>
      <c r="F251" s="15"/>
      <c r="G251" s="15"/>
      <c r="H251" s="16"/>
      <c r="I251" s="16"/>
    </row>
    <row r="252">
      <c r="E252" s="13"/>
      <c r="F252" s="15"/>
      <c r="G252" s="15"/>
      <c r="H252" s="16"/>
      <c r="I252" s="16"/>
    </row>
    <row r="253">
      <c r="E253" s="13"/>
      <c r="F253" s="15"/>
      <c r="G253" s="15"/>
      <c r="H253" s="16"/>
      <c r="I253" s="16"/>
    </row>
    <row r="254">
      <c r="E254" s="13"/>
      <c r="F254" s="15"/>
      <c r="G254" s="15"/>
      <c r="H254" s="16"/>
      <c r="I254" s="16"/>
    </row>
    <row r="255">
      <c r="E255" s="13"/>
      <c r="F255" s="15"/>
      <c r="G255" s="15"/>
      <c r="H255" s="16"/>
      <c r="I255" s="16"/>
    </row>
    <row r="256">
      <c r="E256" s="13"/>
      <c r="F256" s="15"/>
      <c r="G256" s="15"/>
      <c r="H256" s="16"/>
      <c r="I256" s="16"/>
    </row>
    <row r="257">
      <c r="E257" s="13"/>
      <c r="F257" s="15"/>
      <c r="G257" s="15"/>
      <c r="H257" s="16"/>
      <c r="I257" s="16"/>
    </row>
    <row r="258">
      <c r="E258" s="13"/>
      <c r="F258" s="15"/>
      <c r="G258" s="15"/>
      <c r="H258" s="16"/>
      <c r="I258" s="16"/>
    </row>
    <row r="259">
      <c r="E259" s="13"/>
      <c r="F259" s="15"/>
      <c r="G259" s="15"/>
      <c r="H259" s="16"/>
      <c r="I259" s="16"/>
    </row>
    <row r="260">
      <c r="E260" s="13"/>
      <c r="F260" s="15"/>
      <c r="G260" s="15"/>
      <c r="H260" s="16"/>
      <c r="I260" s="16"/>
    </row>
    <row r="261">
      <c r="E261" s="13"/>
      <c r="F261" s="15"/>
      <c r="G261" s="15"/>
      <c r="H261" s="16"/>
      <c r="I261" s="16"/>
    </row>
    <row r="262">
      <c r="E262" s="13"/>
      <c r="F262" s="15"/>
      <c r="G262" s="15"/>
      <c r="H262" s="16"/>
      <c r="I262" s="16"/>
    </row>
    <row r="263">
      <c r="E263" s="13"/>
      <c r="F263" s="15"/>
      <c r="G263" s="15"/>
      <c r="H263" s="16"/>
      <c r="I263" s="16"/>
    </row>
    <row r="264">
      <c r="E264" s="13"/>
      <c r="F264" s="15"/>
      <c r="G264" s="15"/>
      <c r="H264" s="16"/>
      <c r="I264" s="16"/>
    </row>
    <row r="265">
      <c r="E265" s="13"/>
      <c r="F265" s="15"/>
      <c r="G265" s="15"/>
      <c r="H265" s="16"/>
      <c r="I265" s="16"/>
    </row>
    <row r="266">
      <c r="E266" s="13"/>
      <c r="F266" s="15"/>
      <c r="G266" s="15"/>
      <c r="H266" s="16"/>
      <c r="I266" s="16"/>
    </row>
    <row r="267">
      <c r="E267" s="13"/>
      <c r="F267" s="15"/>
      <c r="G267" s="15"/>
      <c r="H267" s="16"/>
      <c r="I267" s="16"/>
    </row>
    <row r="268">
      <c r="E268" s="13"/>
      <c r="F268" s="15"/>
      <c r="G268" s="15"/>
      <c r="H268" s="16"/>
      <c r="I268" s="16"/>
    </row>
    <row r="269">
      <c r="E269" s="13"/>
      <c r="F269" s="15"/>
      <c r="G269" s="15"/>
      <c r="H269" s="16"/>
      <c r="I269" s="16"/>
    </row>
    <row r="270">
      <c r="E270" s="13"/>
      <c r="F270" s="15"/>
      <c r="G270" s="15"/>
      <c r="H270" s="16"/>
      <c r="I270" s="16"/>
    </row>
    <row r="271">
      <c r="E271" s="13"/>
      <c r="F271" s="15"/>
      <c r="G271" s="15"/>
      <c r="H271" s="16"/>
      <c r="I271" s="16"/>
    </row>
    <row r="272">
      <c r="E272" s="13"/>
      <c r="F272" s="15"/>
      <c r="G272" s="15"/>
      <c r="H272" s="16"/>
      <c r="I272" s="16"/>
    </row>
    <row r="273">
      <c r="E273" s="13"/>
      <c r="F273" s="15"/>
      <c r="G273" s="15"/>
      <c r="H273" s="16"/>
      <c r="I273" s="16"/>
    </row>
    <row r="274">
      <c r="E274" s="13"/>
      <c r="F274" s="15"/>
      <c r="G274" s="15"/>
      <c r="H274" s="16"/>
      <c r="I274" s="16"/>
    </row>
    <row r="275">
      <c r="E275" s="13"/>
      <c r="F275" s="15"/>
      <c r="G275" s="15"/>
      <c r="H275" s="16"/>
      <c r="I275" s="16"/>
    </row>
    <row r="276">
      <c r="E276" s="13"/>
      <c r="F276" s="15"/>
      <c r="G276" s="15"/>
      <c r="H276" s="16"/>
      <c r="I276" s="16"/>
    </row>
    <row r="277">
      <c r="E277" s="13"/>
      <c r="F277" s="15"/>
      <c r="G277" s="15"/>
      <c r="H277" s="16"/>
      <c r="I277" s="16"/>
    </row>
    <row r="278">
      <c r="E278" s="13"/>
      <c r="F278" s="15"/>
      <c r="G278" s="15"/>
      <c r="H278" s="16"/>
      <c r="I278" s="16"/>
    </row>
    <row r="279">
      <c r="E279" s="13"/>
      <c r="F279" s="15"/>
      <c r="G279" s="15"/>
      <c r="H279" s="16"/>
      <c r="I279" s="16"/>
    </row>
    <row r="280">
      <c r="E280" s="13"/>
      <c r="F280" s="15"/>
      <c r="G280" s="15"/>
      <c r="H280" s="16"/>
      <c r="I280" s="16"/>
    </row>
    <row r="281">
      <c r="E281" s="13"/>
      <c r="F281" s="15"/>
      <c r="G281" s="15"/>
      <c r="H281" s="16"/>
      <c r="I281" s="16"/>
    </row>
    <row r="282">
      <c r="E282" s="13"/>
      <c r="F282" s="15"/>
      <c r="G282" s="15"/>
      <c r="H282" s="16"/>
      <c r="I282" s="16"/>
    </row>
    <row r="283">
      <c r="E283" s="13"/>
      <c r="F283" s="15"/>
      <c r="G283" s="15"/>
      <c r="H283" s="16"/>
      <c r="I283" s="16"/>
    </row>
    <row r="284">
      <c r="E284" s="13"/>
      <c r="F284" s="15"/>
      <c r="G284" s="15"/>
      <c r="H284" s="16"/>
      <c r="I284" s="16"/>
    </row>
    <row r="285">
      <c r="E285" s="13"/>
      <c r="F285" s="15"/>
      <c r="G285" s="15"/>
      <c r="H285" s="16"/>
      <c r="I285" s="16"/>
    </row>
    <row r="286">
      <c r="E286" s="13"/>
      <c r="F286" s="15"/>
      <c r="G286" s="15"/>
      <c r="H286" s="16"/>
      <c r="I286" s="16"/>
    </row>
    <row r="287">
      <c r="E287" s="13"/>
      <c r="F287" s="15"/>
      <c r="G287" s="15"/>
      <c r="H287" s="16"/>
      <c r="I287" s="16"/>
    </row>
    <row r="288">
      <c r="E288" s="13"/>
      <c r="F288" s="15"/>
      <c r="G288" s="15"/>
      <c r="H288" s="16"/>
      <c r="I288" s="16"/>
    </row>
    <row r="289">
      <c r="E289" s="13"/>
      <c r="F289" s="15"/>
      <c r="G289" s="15"/>
      <c r="H289" s="16"/>
      <c r="I289" s="16"/>
    </row>
    <row r="290">
      <c r="E290" s="13"/>
      <c r="F290" s="15"/>
      <c r="G290" s="15"/>
      <c r="H290" s="16"/>
      <c r="I290" s="16"/>
    </row>
    <row r="291">
      <c r="E291" s="13"/>
      <c r="F291" s="15"/>
      <c r="G291" s="15"/>
      <c r="H291" s="16"/>
      <c r="I291" s="16"/>
    </row>
    <row r="292">
      <c r="E292" s="13"/>
      <c r="F292" s="15"/>
      <c r="G292" s="15"/>
      <c r="H292" s="16"/>
      <c r="I292" s="16"/>
    </row>
    <row r="293">
      <c r="E293" s="13"/>
      <c r="F293" s="15"/>
      <c r="G293" s="15"/>
      <c r="H293" s="16"/>
      <c r="I293" s="16"/>
    </row>
    <row r="294">
      <c r="E294" s="13"/>
      <c r="F294" s="15"/>
      <c r="G294" s="15"/>
      <c r="H294" s="16"/>
      <c r="I294" s="16"/>
    </row>
    <row r="295">
      <c r="E295" s="13"/>
      <c r="F295" s="15"/>
      <c r="G295" s="15"/>
      <c r="H295" s="16"/>
      <c r="I295" s="16"/>
    </row>
    <row r="296">
      <c r="E296" s="13"/>
      <c r="F296" s="15"/>
      <c r="G296" s="15"/>
      <c r="H296" s="16"/>
      <c r="I296" s="16"/>
    </row>
    <row r="297">
      <c r="E297" s="13"/>
      <c r="F297" s="15"/>
      <c r="G297" s="15"/>
      <c r="H297" s="16"/>
      <c r="I297" s="16"/>
    </row>
    <row r="298">
      <c r="E298" s="13"/>
      <c r="F298" s="15"/>
      <c r="G298" s="15"/>
      <c r="H298" s="16"/>
      <c r="I298" s="16"/>
    </row>
    <row r="299">
      <c r="E299" s="13"/>
      <c r="F299" s="15"/>
      <c r="G299" s="15"/>
      <c r="H299" s="16"/>
      <c r="I299" s="16"/>
    </row>
    <row r="300">
      <c r="E300" s="13"/>
      <c r="F300" s="15"/>
      <c r="G300" s="15"/>
      <c r="H300" s="16"/>
      <c r="I300" s="16"/>
    </row>
    <row r="301">
      <c r="E301" s="13"/>
      <c r="F301" s="15"/>
      <c r="G301" s="15"/>
      <c r="H301" s="16"/>
      <c r="I301" s="16"/>
    </row>
    <row r="302">
      <c r="E302" s="13"/>
      <c r="F302" s="15"/>
      <c r="G302" s="15"/>
      <c r="H302" s="16"/>
      <c r="I302" s="16"/>
    </row>
    <row r="303">
      <c r="E303" s="13"/>
      <c r="F303" s="15"/>
      <c r="G303" s="15"/>
      <c r="H303" s="16"/>
      <c r="I303" s="16"/>
    </row>
    <row r="304">
      <c r="E304" s="13"/>
      <c r="F304" s="15"/>
      <c r="G304" s="15"/>
      <c r="H304" s="16"/>
      <c r="I304" s="16"/>
    </row>
    <row r="305">
      <c r="E305" s="13"/>
      <c r="F305" s="15"/>
      <c r="G305" s="15"/>
      <c r="H305" s="16"/>
      <c r="I305" s="16"/>
    </row>
    <row r="306">
      <c r="E306" s="13"/>
      <c r="F306" s="15"/>
      <c r="G306" s="15"/>
      <c r="H306" s="16"/>
      <c r="I306" s="16"/>
    </row>
    <row r="307">
      <c r="E307" s="13"/>
      <c r="F307" s="15"/>
      <c r="G307" s="15"/>
      <c r="H307" s="16"/>
      <c r="I307" s="16"/>
    </row>
    <row r="308">
      <c r="E308" s="13"/>
      <c r="F308" s="15"/>
      <c r="G308" s="15"/>
      <c r="H308" s="16"/>
      <c r="I308" s="16"/>
    </row>
    <row r="309">
      <c r="E309" s="13"/>
      <c r="F309" s="15"/>
      <c r="G309" s="15"/>
      <c r="H309" s="16"/>
      <c r="I309" s="16"/>
    </row>
    <row r="310">
      <c r="E310" s="13"/>
      <c r="F310" s="15"/>
      <c r="G310" s="15"/>
      <c r="H310" s="16"/>
      <c r="I310" s="16"/>
    </row>
    <row r="311">
      <c r="E311" s="13"/>
      <c r="F311" s="15"/>
      <c r="G311" s="15"/>
      <c r="H311" s="16"/>
      <c r="I311" s="16"/>
    </row>
    <row r="312">
      <c r="E312" s="13"/>
      <c r="F312" s="15"/>
      <c r="G312" s="15"/>
      <c r="H312" s="16"/>
      <c r="I312" s="16"/>
    </row>
    <row r="313">
      <c r="E313" s="13"/>
      <c r="F313" s="15"/>
      <c r="G313" s="15"/>
      <c r="H313" s="16"/>
      <c r="I313" s="16"/>
    </row>
    <row r="314">
      <c r="E314" s="13"/>
      <c r="F314" s="15"/>
      <c r="G314" s="15"/>
      <c r="H314" s="16"/>
      <c r="I314" s="16"/>
    </row>
    <row r="315">
      <c r="E315" s="13"/>
      <c r="F315" s="15"/>
      <c r="G315" s="15"/>
      <c r="H315" s="16"/>
      <c r="I315" s="16"/>
    </row>
    <row r="316">
      <c r="E316" s="13"/>
      <c r="F316" s="15"/>
      <c r="G316" s="15"/>
      <c r="H316" s="16"/>
      <c r="I316" s="16"/>
    </row>
    <row r="317">
      <c r="E317" s="13"/>
      <c r="F317" s="15"/>
      <c r="G317" s="15"/>
      <c r="H317" s="16"/>
      <c r="I317" s="16"/>
    </row>
    <row r="318">
      <c r="E318" s="13"/>
      <c r="F318" s="15"/>
      <c r="G318" s="15"/>
      <c r="H318" s="16"/>
      <c r="I318" s="16"/>
    </row>
    <row r="319">
      <c r="E319" s="13"/>
      <c r="F319" s="15"/>
      <c r="G319" s="15"/>
      <c r="H319" s="16"/>
      <c r="I319" s="16"/>
    </row>
    <row r="320">
      <c r="E320" s="13"/>
      <c r="F320" s="15"/>
      <c r="G320" s="15"/>
      <c r="H320" s="16"/>
      <c r="I320" s="16"/>
    </row>
    <row r="321">
      <c r="E321" s="13"/>
      <c r="F321" s="15"/>
      <c r="G321" s="15"/>
      <c r="H321" s="16"/>
      <c r="I321" s="16"/>
    </row>
    <row r="322">
      <c r="E322" s="13"/>
      <c r="F322" s="15"/>
      <c r="G322" s="15"/>
      <c r="H322" s="16"/>
      <c r="I322" s="16"/>
    </row>
    <row r="323">
      <c r="E323" s="13"/>
      <c r="F323" s="15"/>
      <c r="G323" s="15"/>
      <c r="H323" s="16"/>
      <c r="I323" s="16"/>
    </row>
    <row r="324">
      <c r="E324" s="13"/>
      <c r="F324" s="15"/>
      <c r="G324" s="15"/>
      <c r="H324" s="16"/>
      <c r="I324" s="16"/>
    </row>
    <row r="325">
      <c r="E325" s="13"/>
      <c r="F325" s="15"/>
      <c r="G325" s="15"/>
      <c r="H325" s="16"/>
      <c r="I325" s="16"/>
    </row>
    <row r="326">
      <c r="E326" s="13"/>
      <c r="F326" s="15"/>
      <c r="G326" s="15"/>
      <c r="H326" s="16"/>
      <c r="I326" s="16"/>
    </row>
    <row r="327">
      <c r="E327" s="13"/>
      <c r="F327" s="15"/>
      <c r="G327" s="15"/>
      <c r="H327" s="16"/>
      <c r="I327" s="16"/>
    </row>
    <row r="328">
      <c r="E328" s="13"/>
      <c r="F328" s="15"/>
      <c r="G328" s="15"/>
      <c r="H328" s="16"/>
      <c r="I328" s="16"/>
    </row>
    <row r="329">
      <c r="E329" s="13"/>
      <c r="F329" s="15"/>
      <c r="G329" s="15"/>
      <c r="H329" s="16"/>
      <c r="I329" s="16"/>
    </row>
    <row r="330">
      <c r="E330" s="13"/>
      <c r="F330" s="15"/>
      <c r="G330" s="15"/>
      <c r="H330" s="16"/>
      <c r="I330" s="16"/>
    </row>
    <row r="331">
      <c r="E331" s="13"/>
      <c r="F331" s="15"/>
      <c r="G331" s="15"/>
      <c r="H331" s="16"/>
      <c r="I331" s="16"/>
    </row>
    <row r="332">
      <c r="E332" s="13"/>
      <c r="F332" s="15"/>
      <c r="G332" s="15"/>
      <c r="H332" s="16"/>
      <c r="I332" s="16"/>
    </row>
    <row r="333">
      <c r="E333" s="13"/>
      <c r="F333" s="15"/>
      <c r="G333" s="15"/>
      <c r="H333" s="16"/>
      <c r="I333" s="16"/>
    </row>
    <row r="334">
      <c r="E334" s="13"/>
      <c r="F334" s="15"/>
      <c r="G334" s="15"/>
      <c r="H334" s="16"/>
      <c r="I334" s="16"/>
    </row>
    <row r="335">
      <c r="E335" s="13"/>
      <c r="F335" s="15"/>
      <c r="G335" s="15"/>
      <c r="H335" s="16"/>
      <c r="I335" s="16"/>
    </row>
    <row r="336">
      <c r="E336" s="13"/>
      <c r="F336" s="15"/>
      <c r="G336" s="15"/>
      <c r="H336" s="16"/>
      <c r="I336" s="16"/>
    </row>
    <row r="337">
      <c r="E337" s="13"/>
      <c r="F337" s="15"/>
      <c r="G337" s="15"/>
      <c r="H337" s="16"/>
      <c r="I337" s="16"/>
    </row>
    <row r="338">
      <c r="E338" s="13"/>
      <c r="F338" s="15"/>
      <c r="G338" s="15"/>
      <c r="H338" s="16"/>
      <c r="I338" s="16"/>
    </row>
    <row r="339">
      <c r="E339" s="13"/>
      <c r="F339" s="15"/>
      <c r="G339" s="15"/>
      <c r="H339" s="16"/>
      <c r="I339" s="16"/>
    </row>
    <row r="340">
      <c r="E340" s="13"/>
      <c r="F340" s="15"/>
      <c r="G340" s="15"/>
      <c r="H340" s="16"/>
      <c r="I340" s="16"/>
    </row>
    <row r="341">
      <c r="E341" s="13"/>
      <c r="F341" s="15"/>
      <c r="G341" s="15"/>
      <c r="H341" s="16"/>
      <c r="I341" s="16"/>
    </row>
    <row r="342">
      <c r="E342" s="13"/>
      <c r="F342" s="15"/>
      <c r="G342" s="15"/>
      <c r="H342" s="16"/>
      <c r="I342" s="16"/>
    </row>
    <row r="343">
      <c r="E343" s="13"/>
      <c r="F343" s="15"/>
      <c r="G343" s="15"/>
      <c r="H343" s="16"/>
      <c r="I343" s="16"/>
    </row>
    <row r="344">
      <c r="E344" s="13"/>
      <c r="F344" s="15"/>
      <c r="G344" s="15"/>
      <c r="H344" s="16"/>
      <c r="I344" s="16"/>
    </row>
    <row r="345">
      <c r="E345" s="13"/>
      <c r="F345" s="15"/>
      <c r="G345" s="15"/>
      <c r="H345" s="16"/>
      <c r="I345" s="16"/>
    </row>
    <row r="346">
      <c r="E346" s="13"/>
      <c r="F346" s="15"/>
      <c r="G346" s="15"/>
      <c r="H346" s="16"/>
      <c r="I346" s="16"/>
    </row>
    <row r="347">
      <c r="E347" s="13"/>
      <c r="F347" s="15"/>
      <c r="G347" s="15"/>
      <c r="H347" s="16"/>
      <c r="I347" s="16"/>
    </row>
    <row r="348">
      <c r="E348" s="13"/>
      <c r="F348" s="15"/>
      <c r="G348" s="15"/>
      <c r="H348" s="16"/>
      <c r="I348" s="16"/>
    </row>
    <row r="349">
      <c r="E349" s="13"/>
      <c r="F349" s="15"/>
      <c r="G349" s="15"/>
      <c r="H349" s="16"/>
      <c r="I349" s="16"/>
    </row>
    <row r="350">
      <c r="E350" s="13"/>
      <c r="F350" s="15"/>
      <c r="G350" s="15"/>
      <c r="H350" s="16"/>
      <c r="I350" s="16"/>
    </row>
    <row r="351">
      <c r="E351" s="13"/>
      <c r="F351" s="15"/>
      <c r="G351" s="15"/>
      <c r="H351" s="16"/>
      <c r="I351" s="16"/>
    </row>
    <row r="352">
      <c r="E352" s="13"/>
      <c r="F352" s="15"/>
      <c r="G352" s="15"/>
      <c r="H352" s="16"/>
      <c r="I352" s="16"/>
    </row>
    <row r="353">
      <c r="E353" s="13"/>
      <c r="F353" s="15"/>
      <c r="G353" s="15"/>
      <c r="H353" s="16"/>
      <c r="I353" s="16"/>
    </row>
    <row r="354">
      <c r="E354" s="13"/>
      <c r="F354" s="15"/>
      <c r="G354" s="15"/>
      <c r="H354" s="16"/>
      <c r="I354" s="16"/>
    </row>
    <row r="355">
      <c r="E355" s="13"/>
      <c r="F355" s="15"/>
      <c r="G355" s="15"/>
      <c r="H355" s="16"/>
      <c r="I355" s="16"/>
    </row>
    <row r="356">
      <c r="E356" s="13"/>
      <c r="F356" s="15"/>
      <c r="G356" s="15"/>
      <c r="H356" s="16"/>
      <c r="I356" s="16"/>
    </row>
    <row r="357">
      <c r="E357" s="13"/>
      <c r="F357" s="15"/>
      <c r="G357" s="15"/>
      <c r="H357" s="16"/>
      <c r="I357" s="16"/>
    </row>
    <row r="358">
      <c r="E358" s="13"/>
      <c r="F358" s="15"/>
      <c r="G358" s="15"/>
      <c r="H358" s="16"/>
      <c r="I358" s="16"/>
    </row>
    <row r="359">
      <c r="E359" s="13"/>
      <c r="F359" s="15"/>
      <c r="G359" s="15"/>
      <c r="H359" s="16"/>
      <c r="I359" s="16"/>
    </row>
    <row r="360">
      <c r="E360" s="13"/>
      <c r="F360" s="15"/>
      <c r="G360" s="15"/>
      <c r="H360" s="16"/>
      <c r="I360" s="16"/>
    </row>
    <row r="361">
      <c r="E361" s="13"/>
      <c r="F361" s="15"/>
      <c r="G361" s="15"/>
      <c r="H361" s="16"/>
      <c r="I361" s="16"/>
    </row>
    <row r="362">
      <c r="E362" s="13"/>
      <c r="F362" s="15"/>
      <c r="G362" s="15"/>
      <c r="H362" s="16"/>
      <c r="I362" s="16"/>
    </row>
    <row r="363">
      <c r="E363" s="13"/>
      <c r="F363" s="15"/>
      <c r="G363" s="15"/>
      <c r="H363" s="16"/>
      <c r="I363" s="16"/>
    </row>
    <row r="364">
      <c r="E364" s="13"/>
      <c r="F364" s="15"/>
      <c r="G364" s="15"/>
      <c r="H364" s="16"/>
      <c r="I364" s="16"/>
    </row>
    <row r="365">
      <c r="E365" s="13"/>
      <c r="F365" s="15"/>
      <c r="G365" s="15"/>
      <c r="H365" s="16"/>
      <c r="I365" s="16"/>
    </row>
    <row r="366">
      <c r="E366" s="13"/>
      <c r="F366" s="15"/>
      <c r="G366" s="15"/>
      <c r="H366" s="16"/>
      <c r="I366" s="16"/>
    </row>
    <row r="367">
      <c r="E367" s="13"/>
      <c r="F367" s="15"/>
      <c r="G367" s="15"/>
      <c r="H367" s="16"/>
      <c r="I367" s="16"/>
    </row>
    <row r="368">
      <c r="E368" s="13"/>
      <c r="F368" s="15"/>
      <c r="G368" s="15"/>
      <c r="H368" s="16"/>
      <c r="I368" s="16"/>
    </row>
    <row r="369">
      <c r="E369" s="13"/>
      <c r="F369" s="15"/>
      <c r="G369" s="15"/>
      <c r="H369" s="16"/>
      <c r="I369" s="16"/>
    </row>
    <row r="370">
      <c r="E370" s="13"/>
      <c r="F370" s="15"/>
      <c r="G370" s="15"/>
      <c r="H370" s="16"/>
      <c r="I370" s="16"/>
    </row>
    <row r="371">
      <c r="E371" s="13"/>
      <c r="F371" s="15"/>
      <c r="G371" s="15"/>
      <c r="H371" s="16"/>
      <c r="I371" s="16"/>
    </row>
    <row r="372">
      <c r="E372" s="13"/>
      <c r="F372" s="15"/>
      <c r="G372" s="15"/>
      <c r="H372" s="16"/>
      <c r="I372" s="16"/>
    </row>
    <row r="373">
      <c r="E373" s="13"/>
      <c r="F373" s="15"/>
      <c r="G373" s="15"/>
      <c r="H373" s="16"/>
      <c r="I373" s="16"/>
    </row>
    <row r="374">
      <c r="E374" s="13"/>
      <c r="F374" s="15"/>
      <c r="G374" s="15"/>
      <c r="H374" s="16"/>
      <c r="I374" s="16"/>
    </row>
    <row r="375">
      <c r="E375" s="13"/>
      <c r="F375" s="15"/>
      <c r="G375" s="15"/>
      <c r="H375" s="16"/>
      <c r="I375" s="16"/>
    </row>
    <row r="376">
      <c r="E376" s="13"/>
      <c r="F376" s="15"/>
      <c r="G376" s="15"/>
      <c r="H376" s="16"/>
      <c r="I376" s="16"/>
    </row>
    <row r="377">
      <c r="E377" s="13"/>
      <c r="F377" s="15"/>
      <c r="G377" s="15"/>
      <c r="H377" s="16"/>
      <c r="I377" s="16"/>
    </row>
    <row r="378">
      <c r="E378" s="13"/>
      <c r="F378" s="15"/>
      <c r="G378" s="15"/>
      <c r="H378" s="16"/>
      <c r="I378" s="16"/>
    </row>
    <row r="379">
      <c r="E379" s="13"/>
      <c r="F379" s="15"/>
      <c r="G379" s="15"/>
      <c r="H379" s="16"/>
      <c r="I379" s="16"/>
    </row>
    <row r="380">
      <c r="E380" s="13"/>
      <c r="F380" s="15"/>
      <c r="G380" s="15"/>
      <c r="H380" s="16"/>
      <c r="I380" s="16"/>
    </row>
    <row r="381">
      <c r="E381" s="13"/>
      <c r="F381" s="15"/>
      <c r="G381" s="15"/>
      <c r="H381" s="16"/>
      <c r="I381" s="16"/>
    </row>
    <row r="382">
      <c r="E382" s="13"/>
      <c r="F382" s="15"/>
      <c r="G382" s="15"/>
      <c r="H382" s="16"/>
      <c r="I382" s="16"/>
    </row>
    <row r="383">
      <c r="E383" s="13"/>
      <c r="F383" s="15"/>
      <c r="G383" s="15"/>
      <c r="H383" s="16"/>
      <c r="I383" s="16"/>
    </row>
    <row r="384">
      <c r="E384" s="13"/>
      <c r="F384" s="15"/>
      <c r="G384" s="15"/>
      <c r="H384" s="16"/>
      <c r="I384" s="16"/>
    </row>
    <row r="385">
      <c r="E385" s="13"/>
      <c r="F385" s="15"/>
      <c r="G385" s="15"/>
      <c r="H385" s="16"/>
      <c r="I385" s="16"/>
    </row>
    <row r="386">
      <c r="E386" s="13"/>
      <c r="F386" s="15"/>
      <c r="G386" s="15"/>
      <c r="H386" s="16"/>
      <c r="I386" s="16"/>
    </row>
    <row r="387">
      <c r="E387" s="13"/>
      <c r="F387" s="15"/>
      <c r="G387" s="15"/>
      <c r="H387" s="16"/>
      <c r="I387" s="16"/>
    </row>
    <row r="388">
      <c r="E388" s="13"/>
      <c r="F388" s="15"/>
      <c r="G388" s="15"/>
      <c r="H388" s="16"/>
      <c r="I388" s="16"/>
    </row>
    <row r="389">
      <c r="E389" s="13"/>
      <c r="F389" s="15"/>
      <c r="G389" s="15"/>
      <c r="H389" s="16"/>
      <c r="I389" s="16"/>
    </row>
    <row r="390">
      <c r="E390" s="13"/>
      <c r="F390" s="15"/>
      <c r="G390" s="15"/>
      <c r="H390" s="16"/>
      <c r="I390" s="16"/>
    </row>
    <row r="391">
      <c r="E391" s="13"/>
      <c r="F391" s="15"/>
      <c r="G391" s="15"/>
      <c r="H391" s="16"/>
      <c r="I391" s="16"/>
    </row>
    <row r="392">
      <c r="E392" s="13"/>
      <c r="F392" s="15"/>
      <c r="G392" s="15"/>
      <c r="H392" s="16"/>
      <c r="I392" s="16"/>
    </row>
    <row r="393">
      <c r="E393" s="13"/>
      <c r="F393" s="15"/>
      <c r="G393" s="15"/>
      <c r="H393" s="16"/>
      <c r="I393" s="16"/>
    </row>
    <row r="394">
      <c r="E394" s="13"/>
      <c r="F394" s="15"/>
      <c r="G394" s="15"/>
      <c r="H394" s="16"/>
      <c r="I394" s="16"/>
    </row>
    <row r="395">
      <c r="E395" s="13"/>
      <c r="F395" s="15"/>
      <c r="G395" s="15"/>
      <c r="H395" s="16"/>
      <c r="I395" s="16"/>
    </row>
    <row r="396">
      <c r="E396" s="13"/>
      <c r="F396" s="15"/>
      <c r="G396" s="15"/>
      <c r="H396" s="16"/>
      <c r="I396" s="16"/>
    </row>
    <row r="397">
      <c r="E397" s="13"/>
      <c r="F397" s="15"/>
      <c r="G397" s="15"/>
      <c r="H397" s="16"/>
      <c r="I397" s="16"/>
    </row>
    <row r="398">
      <c r="E398" s="13"/>
      <c r="F398" s="15"/>
      <c r="G398" s="15"/>
      <c r="H398" s="16"/>
      <c r="I398" s="16"/>
    </row>
    <row r="399">
      <c r="E399" s="13"/>
      <c r="F399" s="15"/>
      <c r="G399" s="15"/>
      <c r="H399" s="16"/>
      <c r="I399" s="16"/>
    </row>
    <row r="400">
      <c r="E400" s="13"/>
      <c r="F400" s="15"/>
      <c r="G400" s="15"/>
      <c r="H400" s="16"/>
      <c r="I400" s="16"/>
    </row>
    <row r="401">
      <c r="E401" s="13"/>
      <c r="F401" s="15"/>
      <c r="G401" s="15"/>
      <c r="H401" s="16"/>
      <c r="I401" s="16"/>
    </row>
    <row r="402">
      <c r="E402" s="13"/>
      <c r="F402" s="15"/>
      <c r="G402" s="15"/>
      <c r="H402" s="16"/>
      <c r="I402" s="16"/>
    </row>
    <row r="403">
      <c r="E403" s="13"/>
      <c r="F403" s="15"/>
      <c r="G403" s="15"/>
      <c r="H403" s="16"/>
      <c r="I403" s="16"/>
    </row>
    <row r="404">
      <c r="E404" s="13"/>
      <c r="F404" s="15"/>
      <c r="G404" s="15"/>
      <c r="H404" s="16"/>
      <c r="I404" s="16"/>
    </row>
    <row r="405">
      <c r="E405" s="13"/>
      <c r="F405" s="15"/>
      <c r="G405" s="15"/>
      <c r="H405" s="16"/>
      <c r="I405" s="16"/>
    </row>
    <row r="406">
      <c r="E406" s="13"/>
      <c r="F406" s="15"/>
      <c r="G406" s="15"/>
      <c r="H406" s="16"/>
      <c r="I406" s="16"/>
    </row>
    <row r="407">
      <c r="E407" s="13"/>
      <c r="F407" s="15"/>
      <c r="G407" s="15"/>
      <c r="H407" s="16"/>
      <c r="I407" s="16"/>
    </row>
    <row r="408">
      <c r="E408" s="13"/>
      <c r="F408" s="15"/>
      <c r="G408" s="15"/>
      <c r="H408" s="16"/>
      <c r="I408" s="16"/>
    </row>
    <row r="409">
      <c r="E409" s="13"/>
      <c r="F409" s="15"/>
      <c r="G409" s="15"/>
      <c r="H409" s="16"/>
      <c r="I409" s="16"/>
    </row>
    <row r="410">
      <c r="E410" s="13"/>
      <c r="F410" s="15"/>
      <c r="G410" s="15"/>
      <c r="H410" s="16"/>
      <c r="I410" s="16"/>
    </row>
    <row r="411">
      <c r="E411" s="13"/>
      <c r="F411" s="15"/>
      <c r="G411" s="15"/>
      <c r="H411" s="16"/>
      <c r="I411" s="16"/>
    </row>
    <row r="412">
      <c r="E412" s="13"/>
      <c r="F412" s="15"/>
      <c r="G412" s="15"/>
      <c r="H412" s="16"/>
      <c r="I412" s="16"/>
    </row>
    <row r="413">
      <c r="E413" s="13"/>
      <c r="F413" s="15"/>
      <c r="G413" s="15"/>
      <c r="H413" s="16"/>
      <c r="I413" s="16"/>
    </row>
    <row r="414">
      <c r="E414" s="13"/>
      <c r="F414" s="15"/>
      <c r="G414" s="15"/>
      <c r="H414" s="16"/>
      <c r="I414" s="16"/>
    </row>
    <row r="415">
      <c r="E415" s="13"/>
      <c r="F415" s="15"/>
      <c r="G415" s="15"/>
      <c r="H415" s="16"/>
      <c r="I415" s="16"/>
    </row>
    <row r="416">
      <c r="E416" s="13"/>
      <c r="F416" s="15"/>
      <c r="G416" s="15"/>
      <c r="H416" s="16"/>
      <c r="I416" s="16"/>
    </row>
    <row r="417">
      <c r="E417" s="13"/>
      <c r="F417" s="15"/>
      <c r="G417" s="15"/>
      <c r="H417" s="16"/>
      <c r="I417" s="16"/>
    </row>
    <row r="418">
      <c r="E418" s="13"/>
      <c r="F418" s="15"/>
      <c r="G418" s="15"/>
      <c r="H418" s="16"/>
      <c r="I418" s="16"/>
    </row>
    <row r="419">
      <c r="E419" s="13"/>
      <c r="F419" s="15"/>
      <c r="G419" s="15"/>
      <c r="H419" s="16"/>
      <c r="I419" s="16"/>
    </row>
    <row r="420">
      <c r="E420" s="13"/>
      <c r="F420" s="15"/>
      <c r="G420" s="15"/>
      <c r="H420" s="16"/>
      <c r="I420" s="16"/>
    </row>
    <row r="421">
      <c r="E421" s="13"/>
      <c r="F421" s="15"/>
      <c r="G421" s="15"/>
      <c r="H421" s="16"/>
      <c r="I421" s="16"/>
    </row>
    <row r="422">
      <c r="E422" s="13"/>
      <c r="F422" s="15"/>
      <c r="G422" s="15"/>
      <c r="H422" s="16"/>
      <c r="I422" s="16"/>
    </row>
    <row r="423">
      <c r="E423" s="13"/>
      <c r="F423" s="15"/>
      <c r="G423" s="15"/>
      <c r="H423" s="16"/>
      <c r="I423" s="16"/>
    </row>
    <row r="424">
      <c r="E424" s="13"/>
      <c r="F424" s="15"/>
      <c r="G424" s="15"/>
      <c r="H424" s="16"/>
      <c r="I424" s="16"/>
    </row>
    <row r="425">
      <c r="E425" s="13"/>
      <c r="F425" s="15"/>
      <c r="G425" s="15"/>
      <c r="H425" s="16"/>
      <c r="I425" s="16"/>
    </row>
    <row r="426">
      <c r="E426" s="13"/>
      <c r="F426" s="15"/>
      <c r="G426" s="15"/>
      <c r="H426" s="16"/>
      <c r="I426" s="16"/>
    </row>
    <row r="427">
      <c r="E427" s="13"/>
      <c r="F427" s="15"/>
      <c r="G427" s="15"/>
      <c r="H427" s="16"/>
      <c r="I427" s="16"/>
    </row>
    <row r="428">
      <c r="E428" s="13"/>
      <c r="F428" s="15"/>
      <c r="G428" s="15"/>
      <c r="H428" s="16"/>
      <c r="I428" s="16"/>
    </row>
    <row r="429">
      <c r="E429" s="13"/>
      <c r="F429" s="15"/>
      <c r="G429" s="15"/>
      <c r="H429" s="16"/>
      <c r="I429" s="16"/>
    </row>
    <row r="430">
      <c r="E430" s="13"/>
      <c r="F430" s="15"/>
      <c r="G430" s="15"/>
      <c r="H430" s="16"/>
      <c r="I430" s="16"/>
    </row>
    <row r="431">
      <c r="E431" s="13"/>
      <c r="F431" s="15"/>
      <c r="G431" s="15"/>
      <c r="H431" s="16"/>
      <c r="I431" s="16"/>
    </row>
    <row r="432">
      <c r="E432" s="13"/>
      <c r="F432" s="15"/>
      <c r="G432" s="15"/>
      <c r="H432" s="16"/>
      <c r="I432" s="16"/>
    </row>
    <row r="433">
      <c r="E433" s="13"/>
      <c r="F433" s="15"/>
      <c r="G433" s="15"/>
      <c r="H433" s="16"/>
      <c r="I433" s="16"/>
    </row>
    <row r="434">
      <c r="E434" s="13"/>
      <c r="F434" s="15"/>
      <c r="G434" s="15"/>
      <c r="H434" s="16"/>
      <c r="I434" s="16"/>
    </row>
    <row r="435">
      <c r="E435" s="13"/>
      <c r="F435" s="15"/>
      <c r="G435" s="15"/>
      <c r="H435" s="16"/>
      <c r="I435" s="16"/>
    </row>
    <row r="436">
      <c r="E436" s="13"/>
      <c r="F436" s="15"/>
      <c r="G436" s="15"/>
      <c r="H436" s="16"/>
      <c r="I436" s="16"/>
    </row>
    <row r="437">
      <c r="E437" s="13"/>
      <c r="F437" s="15"/>
      <c r="G437" s="15"/>
      <c r="H437" s="16"/>
      <c r="I437" s="16"/>
    </row>
    <row r="438">
      <c r="E438" s="13"/>
      <c r="F438" s="15"/>
      <c r="G438" s="15"/>
      <c r="H438" s="16"/>
      <c r="I438" s="16"/>
    </row>
    <row r="439">
      <c r="E439" s="13"/>
      <c r="F439" s="15"/>
      <c r="G439" s="15"/>
      <c r="H439" s="16"/>
      <c r="I439" s="16"/>
    </row>
    <row r="440">
      <c r="E440" s="13"/>
      <c r="F440" s="15"/>
      <c r="G440" s="15"/>
      <c r="H440" s="16"/>
      <c r="I440" s="16"/>
    </row>
    <row r="441">
      <c r="E441" s="13"/>
      <c r="F441" s="15"/>
      <c r="G441" s="15"/>
      <c r="H441" s="16"/>
      <c r="I441" s="16"/>
    </row>
    <row r="442">
      <c r="E442" s="13"/>
      <c r="F442" s="15"/>
      <c r="G442" s="15"/>
      <c r="H442" s="16"/>
      <c r="I442" s="16"/>
    </row>
    <row r="443">
      <c r="E443" s="13"/>
      <c r="F443" s="15"/>
      <c r="G443" s="15"/>
      <c r="H443" s="16"/>
      <c r="I443" s="16"/>
    </row>
    <row r="444">
      <c r="E444" s="13"/>
      <c r="F444" s="15"/>
      <c r="G444" s="15"/>
      <c r="H444" s="16"/>
      <c r="I444" s="16"/>
    </row>
    <row r="445">
      <c r="E445" s="13"/>
      <c r="F445" s="15"/>
      <c r="G445" s="15"/>
      <c r="H445" s="16"/>
      <c r="I445" s="16"/>
    </row>
    <row r="446">
      <c r="E446" s="13"/>
      <c r="F446" s="15"/>
      <c r="G446" s="15"/>
      <c r="H446" s="16"/>
      <c r="I446" s="16"/>
    </row>
    <row r="447">
      <c r="E447" s="13"/>
      <c r="F447" s="15"/>
      <c r="G447" s="15"/>
      <c r="H447" s="16"/>
      <c r="I447" s="16"/>
    </row>
    <row r="448">
      <c r="E448" s="13"/>
      <c r="F448" s="15"/>
      <c r="G448" s="15"/>
      <c r="H448" s="16"/>
      <c r="I448" s="16"/>
    </row>
    <row r="449">
      <c r="E449" s="13"/>
      <c r="F449" s="15"/>
      <c r="G449" s="15"/>
      <c r="H449" s="16"/>
      <c r="I449" s="16"/>
    </row>
    <row r="450">
      <c r="E450" s="13"/>
      <c r="F450" s="15"/>
      <c r="G450" s="15"/>
      <c r="H450" s="16"/>
      <c r="I450" s="16"/>
    </row>
    <row r="451">
      <c r="E451" s="13"/>
      <c r="F451" s="15"/>
      <c r="G451" s="15"/>
      <c r="H451" s="16"/>
      <c r="I451" s="16"/>
    </row>
    <row r="452">
      <c r="E452" s="13"/>
      <c r="F452" s="15"/>
      <c r="G452" s="15"/>
      <c r="H452" s="16"/>
      <c r="I452" s="16"/>
    </row>
    <row r="453">
      <c r="E453" s="13"/>
      <c r="F453" s="15"/>
      <c r="G453" s="15"/>
      <c r="H453" s="16"/>
      <c r="I453" s="16"/>
    </row>
    <row r="454">
      <c r="E454" s="13"/>
      <c r="F454" s="15"/>
      <c r="G454" s="15"/>
      <c r="H454" s="16"/>
      <c r="I454" s="16"/>
    </row>
    <row r="455">
      <c r="E455" s="13"/>
      <c r="F455" s="15"/>
      <c r="G455" s="15"/>
      <c r="H455" s="16"/>
      <c r="I455" s="16"/>
    </row>
    <row r="456">
      <c r="E456" s="13"/>
      <c r="F456" s="15"/>
      <c r="G456" s="15"/>
      <c r="H456" s="16"/>
      <c r="I456" s="16"/>
    </row>
    <row r="457">
      <c r="E457" s="13"/>
      <c r="F457" s="15"/>
      <c r="G457" s="15"/>
      <c r="H457" s="16"/>
      <c r="I457" s="16"/>
    </row>
    <row r="458">
      <c r="E458" s="13"/>
      <c r="F458" s="15"/>
      <c r="G458" s="15"/>
      <c r="H458" s="16"/>
      <c r="I458" s="16"/>
    </row>
    <row r="459">
      <c r="E459" s="13"/>
      <c r="F459" s="15"/>
      <c r="G459" s="15"/>
      <c r="H459" s="16"/>
      <c r="I459" s="16"/>
    </row>
    <row r="460">
      <c r="E460" s="13"/>
      <c r="F460" s="15"/>
      <c r="G460" s="15"/>
      <c r="H460" s="16"/>
      <c r="I460" s="16"/>
    </row>
    <row r="461">
      <c r="E461" s="13"/>
      <c r="F461" s="15"/>
      <c r="G461" s="15"/>
      <c r="H461" s="16"/>
      <c r="I461" s="16"/>
    </row>
    <row r="462">
      <c r="E462" s="13"/>
      <c r="F462" s="15"/>
      <c r="G462" s="15"/>
      <c r="H462" s="16"/>
      <c r="I462" s="16"/>
    </row>
    <row r="463">
      <c r="E463" s="13"/>
      <c r="F463" s="15"/>
      <c r="G463" s="15"/>
      <c r="H463" s="16"/>
      <c r="I463" s="16"/>
    </row>
    <row r="464">
      <c r="E464" s="13"/>
      <c r="F464" s="15"/>
      <c r="G464" s="15"/>
      <c r="H464" s="16"/>
      <c r="I464" s="16"/>
    </row>
    <row r="465">
      <c r="E465" s="13"/>
      <c r="F465" s="15"/>
      <c r="G465" s="15"/>
      <c r="H465" s="16"/>
      <c r="I465" s="16"/>
    </row>
    <row r="466">
      <c r="E466" s="13"/>
      <c r="F466" s="15"/>
      <c r="G466" s="15"/>
      <c r="H466" s="16"/>
      <c r="I466" s="16"/>
    </row>
    <row r="467">
      <c r="E467" s="13"/>
      <c r="F467" s="15"/>
      <c r="G467" s="15"/>
      <c r="H467" s="16"/>
      <c r="I467" s="16"/>
    </row>
    <row r="468">
      <c r="E468" s="13"/>
      <c r="F468" s="15"/>
      <c r="G468" s="15"/>
      <c r="H468" s="16"/>
      <c r="I468" s="16"/>
    </row>
    <row r="469">
      <c r="E469" s="13"/>
      <c r="F469" s="15"/>
      <c r="G469" s="15"/>
      <c r="H469" s="16"/>
      <c r="I469" s="16"/>
    </row>
    <row r="470">
      <c r="E470" s="13"/>
      <c r="F470" s="15"/>
      <c r="G470" s="15"/>
      <c r="H470" s="16"/>
      <c r="I470" s="16"/>
    </row>
    <row r="471">
      <c r="E471" s="13"/>
      <c r="F471" s="15"/>
      <c r="G471" s="15"/>
      <c r="H471" s="16"/>
      <c r="I471" s="16"/>
    </row>
    <row r="472">
      <c r="E472" s="13"/>
      <c r="F472" s="15"/>
      <c r="G472" s="15"/>
      <c r="H472" s="16"/>
      <c r="I472" s="16"/>
    </row>
    <row r="473">
      <c r="E473" s="13"/>
      <c r="F473" s="15"/>
      <c r="G473" s="15"/>
      <c r="H473" s="16"/>
      <c r="I473" s="16"/>
    </row>
    <row r="474">
      <c r="E474" s="13"/>
      <c r="F474" s="15"/>
      <c r="G474" s="15"/>
      <c r="H474" s="16"/>
      <c r="I474" s="16"/>
    </row>
    <row r="475">
      <c r="E475" s="13"/>
      <c r="F475" s="15"/>
      <c r="G475" s="15"/>
      <c r="H475" s="16"/>
      <c r="I475" s="16"/>
    </row>
    <row r="476">
      <c r="E476" s="13"/>
      <c r="F476" s="15"/>
      <c r="G476" s="15"/>
      <c r="H476" s="16"/>
      <c r="I476" s="16"/>
    </row>
    <row r="477">
      <c r="E477" s="13"/>
      <c r="F477" s="15"/>
      <c r="G477" s="15"/>
      <c r="H477" s="16"/>
      <c r="I477" s="16"/>
    </row>
    <row r="478">
      <c r="E478" s="13"/>
      <c r="F478" s="15"/>
      <c r="G478" s="15"/>
      <c r="H478" s="16"/>
      <c r="I478" s="16"/>
    </row>
    <row r="479">
      <c r="E479" s="13"/>
      <c r="F479" s="15"/>
      <c r="G479" s="15"/>
      <c r="H479" s="16"/>
      <c r="I479" s="16"/>
    </row>
    <row r="480">
      <c r="E480" s="13"/>
      <c r="F480" s="15"/>
      <c r="G480" s="15"/>
      <c r="H480" s="16"/>
      <c r="I480" s="16"/>
    </row>
    <row r="481">
      <c r="E481" s="13"/>
      <c r="F481" s="15"/>
      <c r="G481" s="15"/>
      <c r="H481" s="16"/>
      <c r="I481" s="16"/>
    </row>
    <row r="482">
      <c r="E482" s="13"/>
      <c r="F482" s="15"/>
      <c r="G482" s="15"/>
      <c r="H482" s="16"/>
      <c r="I482" s="16"/>
    </row>
    <row r="483">
      <c r="E483" s="13"/>
      <c r="F483" s="15"/>
      <c r="G483" s="15"/>
      <c r="H483" s="16"/>
      <c r="I483" s="16"/>
    </row>
    <row r="484">
      <c r="E484" s="13"/>
      <c r="F484" s="15"/>
      <c r="G484" s="15"/>
      <c r="H484" s="16"/>
      <c r="I484" s="16"/>
    </row>
    <row r="485">
      <c r="E485" s="13"/>
      <c r="F485" s="15"/>
      <c r="G485" s="15"/>
      <c r="H485" s="16"/>
      <c r="I485" s="16"/>
    </row>
    <row r="486">
      <c r="E486" s="13"/>
      <c r="F486" s="15"/>
      <c r="G486" s="15"/>
      <c r="H486" s="16"/>
      <c r="I486" s="16"/>
    </row>
    <row r="487">
      <c r="E487" s="13"/>
      <c r="F487" s="15"/>
      <c r="G487" s="15"/>
      <c r="H487" s="16"/>
      <c r="I487" s="16"/>
    </row>
    <row r="488">
      <c r="E488" s="13"/>
      <c r="F488" s="15"/>
      <c r="G488" s="15"/>
      <c r="H488" s="16"/>
      <c r="I488" s="16"/>
    </row>
    <row r="489">
      <c r="E489" s="13"/>
      <c r="F489" s="15"/>
      <c r="G489" s="15"/>
      <c r="H489" s="16"/>
      <c r="I489" s="16"/>
    </row>
    <row r="490">
      <c r="E490" s="13"/>
      <c r="F490" s="15"/>
      <c r="G490" s="15"/>
      <c r="H490" s="16"/>
      <c r="I490" s="16"/>
    </row>
    <row r="491">
      <c r="E491" s="13"/>
      <c r="F491" s="15"/>
      <c r="G491" s="15"/>
      <c r="H491" s="16"/>
      <c r="I491" s="16"/>
    </row>
    <row r="492">
      <c r="E492" s="13"/>
      <c r="F492" s="15"/>
      <c r="G492" s="15"/>
      <c r="H492" s="16"/>
      <c r="I492" s="16"/>
    </row>
    <row r="493">
      <c r="E493" s="13"/>
      <c r="F493" s="15"/>
      <c r="G493" s="15"/>
      <c r="H493" s="16"/>
      <c r="I493" s="16"/>
    </row>
    <row r="494">
      <c r="E494" s="13"/>
      <c r="F494" s="15"/>
      <c r="G494" s="15"/>
      <c r="H494" s="16"/>
      <c r="I494" s="16"/>
    </row>
    <row r="495">
      <c r="E495" s="13"/>
      <c r="F495" s="15"/>
      <c r="G495" s="15"/>
      <c r="H495" s="16"/>
      <c r="I495" s="16"/>
    </row>
    <row r="496">
      <c r="E496" s="13"/>
      <c r="F496" s="15"/>
      <c r="G496" s="15"/>
      <c r="H496" s="16"/>
      <c r="I496" s="16"/>
    </row>
    <row r="497">
      <c r="E497" s="13"/>
      <c r="F497" s="15"/>
      <c r="G497" s="15"/>
      <c r="H497" s="16"/>
      <c r="I497" s="16"/>
    </row>
    <row r="498">
      <c r="E498" s="13"/>
      <c r="F498" s="15"/>
      <c r="G498" s="15"/>
      <c r="H498" s="16"/>
      <c r="I498" s="16"/>
    </row>
    <row r="499">
      <c r="E499" s="13"/>
      <c r="F499" s="15"/>
      <c r="G499" s="15"/>
      <c r="H499" s="16"/>
      <c r="I499" s="16"/>
    </row>
    <row r="500">
      <c r="E500" s="13"/>
      <c r="F500" s="15"/>
      <c r="G500" s="15"/>
      <c r="H500" s="16"/>
      <c r="I500" s="16"/>
    </row>
    <row r="501">
      <c r="E501" s="13"/>
      <c r="F501" s="15"/>
      <c r="G501" s="15"/>
      <c r="H501" s="16"/>
      <c r="I501" s="16"/>
    </row>
    <row r="502">
      <c r="E502" s="13"/>
      <c r="F502" s="15"/>
      <c r="G502" s="15"/>
      <c r="H502" s="16"/>
      <c r="I502" s="16"/>
    </row>
    <row r="503">
      <c r="E503" s="13"/>
      <c r="F503" s="15"/>
      <c r="G503" s="15"/>
      <c r="H503" s="16"/>
      <c r="I503" s="16"/>
    </row>
    <row r="504">
      <c r="E504" s="13"/>
      <c r="F504" s="15"/>
      <c r="G504" s="15"/>
      <c r="H504" s="16"/>
      <c r="I504" s="16"/>
    </row>
    <row r="505">
      <c r="E505" s="13"/>
      <c r="F505" s="15"/>
      <c r="G505" s="15"/>
      <c r="H505" s="16"/>
      <c r="I505" s="16"/>
    </row>
    <row r="506">
      <c r="E506" s="13"/>
      <c r="F506" s="15"/>
      <c r="G506" s="15"/>
      <c r="H506" s="16"/>
      <c r="I506" s="16"/>
    </row>
    <row r="507">
      <c r="E507" s="13"/>
      <c r="F507" s="15"/>
      <c r="G507" s="15"/>
      <c r="H507" s="16"/>
      <c r="I507" s="16"/>
    </row>
    <row r="508">
      <c r="E508" s="13"/>
      <c r="F508" s="15"/>
      <c r="G508" s="15"/>
      <c r="H508" s="16"/>
      <c r="I508" s="16"/>
    </row>
    <row r="509">
      <c r="E509" s="13"/>
      <c r="F509" s="15"/>
      <c r="G509" s="15"/>
      <c r="H509" s="16"/>
      <c r="I509" s="16"/>
    </row>
    <row r="510">
      <c r="E510" s="13"/>
      <c r="F510" s="15"/>
      <c r="G510" s="15"/>
      <c r="H510" s="16"/>
      <c r="I510" s="16"/>
    </row>
    <row r="511">
      <c r="E511" s="13"/>
      <c r="F511" s="15"/>
      <c r="G511" s="15"/>
      <c r="H511" s="16"/>
      <c r="I511" s="16"/>
    </row>
    <row r="512">
      <c r="E512" s="13"/>
      <c r="F512" s="15"/>
      <c r="G512" s="15"/>
      <c r="H512" s="16"/>
      <c r="I512" s="16"/>
    </row>
    <row r="513">
      <c r="E513" s="13"/>
      <c r="F513" s="15"/>
      <c r="G513" s="15"/>
      <c r="H513" s="16"/>
      <c r="I513" s="16"/>
    </row>
    <row r="514">
      <c r="E514" s="13"/>
      <c r="F514" s="15"/>
      <c r="G514" s="15"/>
      <c r="H514" s="16"/>
      <c r="I514" s="16"/>
    </row>
    <row r="515">
      <c r="E515" s="13"/>
      <c r="F515" s="15"/>
      <c r="G515" s="15"/>
      <c r="H515" s="16"/>
      <c r="I515" s="16"/>
    </row>
    <row r="516">
      <c r="E516" s="13"/>
      <c r="F516" s="15"/>
      <c r="G516" s="15"/>
      <c r="H516" s="16"/>
      <c r="I516" s="16"/>
    </row>
    <row r="517">
      <c r="E517" s="13"/>
      <c r="F517" s="15"/>
      <c r="G517" s="15"/>
      <c r="H517" s="16"/>
      <c r="I517" s="16"/>
    </row>
    <row r="518">
      <c r="E518" s="13"/>
      <c r="F518" s="15"/>
      <c r="G518" s="15"/>
      <c r="H518" s="16"/>
      <c r="I518" s="16"/>
    </row>
    <row r="519">
      <c r="E519" s="13"/>
      <c r="F519" s="15"/>
      <c r="G519" s="15"/>
      <c r="H519" s="16"/>
      <c r="I519" s="16"/>
    </row>
    <row r="520">
      <c r="E520" s="13"/>
      <c r="F520" s="15"/>
      <c r="G520" s="15"/>
      <c r="H520" s="16"/>
      <c r="I520" s="16"/>
    </row>
    <row r="521">
      <c r="E521" s="13"/>
      <c r="F521" s="15"/>
      <c r="G521" s="15"/>
      <c r="H521" s="16"/>
      <c r="I521" s="16"/>
    </row>
    <row r="522">
      <c r="E522" s="13"/>
      <c r="F522" s="15"/>
      <c r="G522" s="15"/>
      <c r="H522" s="16"/>
      <c r="I522" s="16"/>
    </row>
    <row r="523">
      <c r="E523" s="13"/>
      <c r="F523" s="15"/>
      <c r="G523" s="15"/>
      <c r="H523" s="16"/>
      <c r="I523" s="16"/>
    </row>
    <row r="524">
      <c r="E524" s="13"/>
      <c r="F524" s="15"/>
      <c r="G524" s="15"/>
      <c r="H524" s="16"/>
      <c r="I524" s="16"/>
    </row>
    <row r="525">
      <c r="E525" s="13"/>
      <c r="F525" s="15"/>
      <c r="G525" s="15"/>
      <c r="H525" s="16"/>
      <c r="I525" s="16"/>
    </row>
    <row r="526">
      <c r="E526" s="13"/>
      <c r="F526" s="15"/>
      <c r="G526" s="15"/>
      <c r="H526" s="16"/>
      <c r="I526" s="16"/>
    </row>
    <row r="527">
      <c r="E527" s="13"/>
      <c r="F527" s="15"/>
      <c r="G527" s="15"/>
      <c r="H527" s="16"/>
      <c r="I527" s="16"/>
    </row>
    <row r="528">
      <c r="E528" s="13"/>
      <c r="F528" s="15"/>
      <c r="G528" s="15"/>
      <c r="H528" s="16"/>
      <c r="I528" s="16"/>
    </row>
    <row r="529">
      <c r="E529" s="13"/>
      <c r="F529" s="15"/>
      <c r="G529" s="15"/>
      <c r="H529" s="16"/>
      <c r="I529" s="16"/>
    </row>
    <row r="530">
      <c r="E530" s="13"/>
      <c r="F530" s="15"/>
      <c r="G530" s="15"/>
      <c r="H530" s="16"/>
      <c r="I530" s="16"/>
    </row>
    <row r="531">
      <c r="E531" s="13"/>
      <c r="F531" s="15"/>
      <c r="G531" s="15"/>
      <c r="H531" s="16"/>
      <c r="I531" s="16"/>
    </row>
    <row r="532">
      <c r="E532" s="13"/>
      <c r="F532" s="15"/>
      <c r="G532" s="15"/>
      <c r="H532" s="16"/>
      <c r="I532" s="16"/>
    </row>
    <row r="533">
      <c r="E533" s="13"/>
      <c r="F533" s="15"/>
      <c r="G533" s="15"/>
      <c r="H533" s="16"/>
      <c r="I533" s="16"/>
    </row>
    <row r="534">
      <c r="E534" s="13"/>
      <c r="F534" s="15"/>
      <c r="G534" s="15"/>
      <c r="H534" s="16"/>
      <c r="I534" s="16"/>
    </row>
    <row r="535">
      <c r="E535" s="13"/>
      <c r="F535" s="15"/>
      <c r="G535" s="15"/>
      <c r="H535" s="16"/>
      <c r="I535" s="16"/>
    </row>
    <row r="536">
      <c r="E536" s="13"/>
      <c r="F536" s="15"/>
      <c r="G536" s="15"/>
      <c r="H536" s="16"/>
      <c r="I536" s="16"/>
    </row>
    <row r="537">
      <c r="E537" s="13"/>
      <c r="F537" s="15"/>
      <c r="G537" s="15"/>
      <c r="H537" s="16"/>
      <c r="I537" s="16"/>
    </row>
    <row r="538">
      <c r="E538" s="13"/>
      <c r="F538" s="15"/>
      <c r="G538" s="15"/>
      <c r="H538" s="16"/>
      <c r="I538" s="16"/>
    </row>
    <row r="539">
      <c r="E539" s="13"/>
      <c r="F539" s="15"/>
      <c r="G539" s="15"/>
      <c r="H539" s="16"/>
      <c r="I539" s="16"/>
    </row>
    <row r="540">
      <c r="E540" s="13"/>
      <c r="F540" s="15"/>
      <c r="G540" s="15"/>
      <c r="H540" s="16"/>
      <c r="I540" s="16"/>
    </row>
    <row r="541">
      <c r="E541" s="13"/>
      <c r="F541" s="15"/>
      <c r="G541" s="15"/>
      <c r="H541" s="16"/>
      <c r="I541" s="16"/>
    </row>
    <row r="542">
      <c r="E542" s="13"/>
      <c r="F542" s="15"/>
      <c r="G542" s="15"/>
      <c r="H542" s="16"/>
      <c r="I542" s="16"/>
    </row>
    <row r="543">
      <c r="E543" s="13"/>
      <c r="F543" s="15"/>
      <c r="G543" s="15"/>
      <c r="H543" s="16"/>
      <c r="I543" s="16"/>
    </row>
    <row r="544">
      <c r="E544" s="13"/>
      <c r="F544" s="15"/>
      <c r="G544" s="15"/>
      <c r="H544" s="16"/>
      <c r="I544" s="16"/>
    </row>
    <row r="545">
      <c r="E545" s="13"/>
      <c r="F545" s="15"/>
      <c r="G545" s="15"/>
      <c r="H545" s="16"/>
      <c r="I545" s="16"/>
    </row>
    <row r="546">
      <c r="E546" s="13"/>
      <c r="F546" s="15"/>
      <c r="G546" s="15"/>
      <c r="H546" s="16"/>
      <c r="I546" s="16"/>
    </row>
    <row r="547">
      <c r="E547" s="13"/>
      <c r="F547" s="15"/>
      <c r="G547" s="15"/>
      <c r="H547" s="16"/>
      <c r="I547" s="16"/>
    </row>
    <row r="548">
      <c r="E548" s="13"/>
      <c r="F548" s="15"/>
      <c r="G548" s="15"/>
      <c r="H548" s="16"/>
      <c r="I548" s="16"/>
    </row>
    <row r="549">
      <c r="E549" s="13"/>
      <c r="F549" s="15"/>
      <c r="G549" s="15"/>
      <c r="H549" s="16"/>
      <c r="I549" s="16"/>
    </row>
    <row r="550">
      <c r="E550" s="13"/>
      <c r="F550" s="15"/>
      <c r="G550" s="15"/>
      <c r="H550" s="16"/>
      <c r="I550" s="16"/>
    </row>
    <row r="551">
      <c r="E551" s="13"/>
      <c r="F551" s="15"/>
      <c r="G551" s="15"/>
      <c r="H551" s="16"/>
      <c r="I551" s="16"/>
    </row>
    <row r="552">
      <c r="E552" s="13"/>
      <c r="F552" s="15"/>
      <c r="G552" s="15"/>
      <c r="H552" s="16"/>
      <c r="I552" s="16"/>
    </row>
    <row r="553">
      <c r="E553" s="13"/>
      <c r="F553" s="15"/>
      <c r="G553" s="15"/>
      <c r="H553" s="16"/>
      <c r="I553" s="16"/>
    </row>
    <row r="554">
      <c r="E554" s="13"/>
      <c r="F554" s="15"/>
      <c r="G554" s="15"/>
      <c r="H554" s="16"/>
      <c r="I554" s="16"/>
    </row>
    <row r="555">
      <c r="E555" s="13"/>
      <c r="F555" s="15"/>
      <c r="G555" s="15"/>
      <c r="H555" s="16"/>
      <c r="I555" s="16"/>
    </row>
    <row r="556">
      <c r="E556" s="13"/>
      <c r="F556" s="15"/>
      <c r="G556" s="15"/>
      <c r="H556" s="16"/>
      <c r="I556" s="16"/>
    </row>
    <row r="557">
      <c r="E557" s="13"/>
      <c r="F557" s="15"/>
      <c r="G557" s="15"/>
      <c r="H557" s="16"/>
      <c r="I557" s="16"/>
    </row>
    <row r="558">
      <c r="E558" s="13"/>
      <c r="F558" s="15"/>
      <c r="G558" s="15"/>
      <c r="H558" s="16"/>
      <c r="I558" s="16"/>
    </row>
    <row r="559">
      <c r="E559" s="13"/>
      <c r="F559" s="15"/>
      <c r="G559" s="15"/>
      <c r="H559" s="16"/>
      <c r="I559" s="16"/>
    </row>
    <row r="560">
      <c r="E560" s="13"/>
      <c r="F560" s="15"/>
      <c r="G560" s="15"/>
      <c r="H560" s="16"/>
      <c r="I560" s="16"/>
    </row>
    <row r="561">
      <c r="E561" s="13"/>
      <c r="F561" s="15"/>
      <c r="G561" s="15"/>
      <c r="H561" s="16"/>
      <c r="I561" s="16"/>
    </row>
    <row r="562">
      <c r="E562" s="13"/>
      <c r="F562" s="15"/>
      <c r="G562" s="15"/>
      <c r="H562" s="16"/>
      <c r="I562" s="16"/>
    </row>
    <row r="563">
      <c r="E563" s="13"/>
      <c r="F563" s="15"/>
      <c r="G563" s="15"/>
      <c r="H563" s="16"/>
      <c r="I563" s="16"/>
    </row>
    <row r="564">
      <c r="E564" s="13"/>
      <c r="F564" s="15"/>
      <c r="G564" s="15"/>
      <c r="H564" s="16"/>
      <c r="I564" s="16"/>
    </row>
    <row r="565">
      <c r="E565" s="13"/>
      <c r="F565" s="15"/>
      <c r="G565" s="15"/>
      <c r="H565" s="16"/>
      <c r="I565" s="16"/>
    </row>
    <row r="566">
      <c r="E566" s="13"/>
      <c r="F566" s="15"/>
      <c r="G566" s="15"/>
      <c r="H566" s="16"/>
      <c r="I566" s="16"/>
    </row>
    <row r="567">
      <c r="E567" s="13"/>
      <c r="F567" s="15"/>
      <c r="G567" s="15"/>
      <c r="H567" s="16"/>
      <c r="I567" s="16"/>
    </row>
    <row r="568">
      <c r="E568" s="13"/>
      <c r="F568" s="15"/>
      <c r="G568" s="15"/>
      <c r="H568" s="16"/>
      <c r="I568" s="16"/>
    </row>
    <row r="569">
      <c r="E569" s="13"/>
      <c r="F569" s="15"/>
      <c r="G569" s="15"/>
      <c r="H569" s="16"/>
      <c r="I569" s="16"/>
    </row>
    <row r="570">
      <c r="E570" s="13"/>
      <c r="F570" s="15"/>
      <c r="G570" s="15"/>
      <c r="H570" s="16"/>
      <c r="I570" s="16"/>
    </row>
    <row r="571">
      <c r="E571" s="13"/>
      <c r="F571" s="15"/>
      <c r="G571" s="15"/>
      <c r="H571" s="16"/>
      <c r="I571" s="16"/>
    </row>
    <row r="572">
      <c r="E572" s="13"/>
      <c r="F572" s="15"/>
      <c r="G572" s="15"/>
      <c r="H572" s="16"/>
      <c r="I572" s="16"/>
    </row>
    <row r="573">
      <c r="E573" s="13"/>
      <c r="F573" s="15"/>
      <c r="G573" s="15"/>
      <c r="H573" s="16"/>
      <c r="I573" s="16"/>
    </row>
    <row r="574">
      <c r="E574" s="13"/>
      <c r="F574" s="15"/>
      <c r="G574" s="15"/>
      <c r="H574" s="16"/>
      <c r="I574" s="16"/>
    </row>
    <row r="575">
      <c r="E575" s="13"/>
      <c r="F575" s="15"/>
      <c r="G575" s="15"/>
      <c r="H575" s="16"/>
      <c r="I575" s="16"/>
    </row>
    <row r="576">
      <c r="E576" s="13"/>
      <c r="F576" s="15"/>
      <c r="G576" s="15"/>
      <c r="H576" s="16"/>
      <c r="I576" s="16"/>
    </row>
    <row r="577">
      <c r="E577" s="13"/>
      <c r="F577" s="15"/>
      <c r="G577" s="15"/>
      <c r="H577" s="16"/>
      <c r="I577" s="16"/>
    </row>
    <row r="578">
      <c r="E578" s="13"/>
      <c r="F578" s="15"/>
      <c r="G578" s="15"/>
      <c r="H578" s="16"/>
      <c r="I578" s="16"/>
    </row>
    <row r="579">
      <c r="E579" s="13"/>
      <c r="F579" s="15"/>
      <c r="G579" s="15"/>
      <c r="H579" s="16"/>
      <c r="I579" s="16"/>
    </row>
    <row r="580">
      <c r="E580" s="13"/>
      <c r="F580" s="15"/>
      <c r="G580" s="15"/>
      <c r="H580" s="16"/>
      <c r="I580" s="16"/>
    </row>
    <row r="581">
      <c r="E581" s="13"/>
      <c r="F581" s="15"/>
      <c r="G581" s="15"/>
      <c r="H581" s="16"/>
      <c r="I581" s="16"/>
    </row>
    <row r="582">
      <c r="E582" s="13"/>
      <c r="F582" s="15"/>
      <c r="G582" s="15"/>
      <c r="H582" s="16"/>
      <c r="I582" s="16"/>
    </row>
    <row r="583">
      <c r="E583" s="13"/>
      <c r="F583" s="15"/>
      <c r="G583" s="15"/>
      <c r="H583" s="16"/>
      <c r="I583" s="16"/>
    </row>
    <row r="584">
      <c r="E584" s="13"/>
      <c r="F584" s="15"/>
      <c r="G584" s="15"/>
      <c r="H584" s="16"/>
      <c r="I584" s="16"/>
    </row>
    <row r="585">
      <c r="E585" s="13"/>
      <c r="F585" s="15"/>
      <c r="G585" s="15"/>
      <c r="H585" s="16"/>
      <c r="I585" s="16"/>
    </row>
    <row r="586">
      <c r="E586" s="13"/>
      <c r="F586" s="15"/>
      <c r="G586" s="15"/>
      <c r="H586" s="16"/>
      <c r="I586" s="16"/>
    </row>
    <row r="587">
      <c r="E587" s="13"/>
      <c r="F587" s="15"/>
      <c r="G587" s="15"/>
      <c r="H587" s="16"/>
      <c r="I587" s="16"/>
    </row>
    <row r="588">
      <c r="E588" s="13"/>
      <c r="F588" s="15"/>
      <c r="G588" s="15"/>
      <c r="H588" s="16"/>
      <c r="I588" s="16"/>
    </row>
    <row r="589">
      <c r="E589" s="13"/>
      <c r="F589" s="15"/>
      <c r="G589" s="15"/>
      <c r="H589" s="16"/>
      <c r="I589" s="16"/>
    </row>
    <row r="590">
      <c r="E590" s="13"/>
      <c r="F590" s="15"/>
      <c r="G590" s="15"/>
      <c r="H590" s="16"/>
      <c r="I590" s="16"/>
    </row>
    <row r="591">
      <c r="E591" s="13"/>
      <c r="F591" s="15"/>
      <c r="G591" s="15"/>
      <c r="H591" s="16"/>
      <c r="I591" s="16"/>
    </row>
    <row r="592">
      <c r="E592" s="13"/>
      <c r="F592" s="15"/>
      <c r="G592" s="15"/>
      <c r="H592" s="16"/>
      <c r="I592" s="16"/>
    </row>
    <row r="593">
      <c r="E593" s="13"/>
      <c r="F593" s="15"/>
      <c r="G593" s="15"/>
      <c r="H593" s="16"/>
      <c r="I593" s="16"/>
    </row>
    <row r="594">
      <c r="E594" s="13"/>
      <c r="F594" s="15"/>
      <c r="G594" s="15"/>
      <c r="H594" s="16"/>
      <c r="I594" s="16"/>
    </row>
    <row r="595">
      <c r="E595" s="13"/>
      <c r="F595" s="15"/>
      <c r="G595" s="15"/>
      <c r="H595" s="16"/>
      <c r="I595" s="16"/>
    </row>
    <row r="596">
      <c r="E596" s="13"/>
      <c r="F596" s="15"/>
      <c r="G596" s="15"/>
      <c r="H596" s="16"/>
      <c r="I596" s="16"/>
    </row>
    <row r="597">
      <c r="E597" s="13"/>
      <c r="F597" s="15"/>
      <c r="G597" s="15"/>
      <c r="H597" s="16"/>
      <c r="I597" s="16"/>
    </row>
    <row r="598">
      <c r="E598" s="13"/>
      <c r="F598" s="15"/>
      <c r="G598" s="15"/>
      <c r="H598" s="16"/>
      <c r="I598" s="16"/>
    </row>
    <row r="599">
      <c r="E599" s="13"/>
      <c r="F599" s="15"/>
      <c r="G599" s="15"/>
      <c r="H599" s="16"/>
      <c r="I599" s="16"/>
    </row>
    <row r="600">
      <c r="E600" s="13"/>
      <c r="F600" s="15"/>
      <c r="G600" s="15"/>
      <c r="H600" s="16"/>
      <c r="I600" s="16"/>
    </row>
    <row r="601">
      <c r="E601" s="13"/>
      <c r="F601" s="15"/>
      <c r="G601" s="15"/>
      <c r="H601" s="16"/>
      <c r="I601" s="16"/>
    </row>
    <row r="602">
      <c r="E602" s="13"/>
      <c r="F602" s="15"/>
      <c r="G602" s="15"/>
      <c r="H602" s="16"/>
      <c r="I602" s="16"/>
    </row>
    <row r="603">
      <c r="E603" s="13"/>
      <c r="F603" s="15"/>
      <c r="G603" s="15"/>
      <c r="H603" s="16"/>
      <c r="I603" s="16"/>
    </row>
    <row r="604">
      <c r="E604" s="13"/>
      <c r="F604" s="15"/>
      <c r="G604" s="15"/>
      <c r="H604" s="16"/>
      <c r="I604" s="16"/>
    </row>
    <row r="605">
      <c r="E605" s="13"/>
      <c r="F605" s="15"/>
      <c r="G605" s="15"/>
      <c r="H605" s="16"/>
      <c r="I605" s="16"/>
    </row>
    <row r="606">
      <c r="E606" s="13"/>
      <c r="F606" s="15"/>
      <c r="G606" s="15"/>
      <c r="H606" s="16"/>
      <c r="I606" s="16"/>
    </row>
    <row r="607">
      <c r="E607" s="13"/>
      <c r="F607" s="15"/>
      <c r="G607" s="15"/>
      <c r="H607" s="16"/>
      <c r="I607" s="16"/>
    </row>
    <row r="608">
      <c r="E608" s="13"/>
      <c r="F608" s="15"/>
      <c r="G608" s="15"/>
      <c r="H608" s="16"/>
      <c r="I608" s="16"/>
    </row>
    <row r="609">
      <c r="E609" s="13"/>
      <c r="F609" s="15"/>
      <c r="G609" s="15"/>
      <c r="H609" s="16"/>
      <c r="I609" s="16"/>
    </row>
    <row r="610">
      <c r="E610" s="13"/>
      <c r="F610" s="15"/>
      <c r="G610" s="15"/>
      <c r="H610" s="16"/>
      <c r="I610" s="16"/>
    </row>
    <row r="611">
      <c r="E611" s="13"/>
      <c r="F611" s="15"/>
      <c r="G611" s="15"/>
      <c r="H611" s="16"/>
      <c r="I611" s="16"/>
    </row>
    <row r="612">
      <c r="E612" s="13"/>
      <c r="F612" s="15"/>
      <c r="G612" s="15"/>
      <c r="H612" s="16"/>
      <c r="I612" s="16"/>
    </row>
    <row r="613">
      <c r="E613" s="13"/>
      <c r="F613" s="15"/>
      <c r="G613" s="15"/>
      <c r="H613" s="16"/>
      <c r="I613" s="16"/>
    </row>
    <row r="614">
      <c r="E614" s="13"/>
      <c r="F614" s="15"/>
      <c r="G614" s="15"/>
      <c r="H614" s="16"/>
      <c r="I614" s="16"/>
    </row>
    <row r="615">
      <c r="E615" s="13"/>
      <c r="F615" s="15"/>
      <c r="G615" s="15"/>
      <c r="H615" s="16"/>
      <c r="I615" s="16"/>
    </row>
    <row r="616">
      <c r="E616" s="13"/>
      <c r="F616" s="15"/>
      <c r="G616" s="15"/>
      <c r="H616" s="16"/>
      <c r="I616" s="16"/>
    </row>
    <row r="617">
      <c r="E617" s="13"/>
      <c r="F617" s="15"/>
      <c r="G617" s="15"/>
      <c r="H617" s="16"/>
      <c r="I617" s="16"/>
    </row>
    <row r="618">
      <c r="E618" s="13"/>
      <c r="F618" s="15"/>
      <c r="G618" s="15"/>
      <c r="H618" s="16"/>
      <c r="I618" s="16"/>
    </row>
    <row r="619">
      <c r="E619" s="13"/>
      <c r="F619" s="15"/>
      <c r="G619" s="15"/>
      <c r="H619" s="16"/>
      <c r="I619" s="16"/>
    </row>
    <row r="620">
      <c r="E620" s="13"/>
      <c r="F620" s="15"/>
      <c r="G620" s="15"/>
      <c r="H620" s="16"/>
      <c r="I620" s="16"/>
    </row>
    <row r="621">
      <c r="E621" s="13"/>
      <c r="F621" s="15"/>
      <c r="G621" s="15"/>
      <c r="H621" s="16"/>
      <c r="I621" s="16"/>
    </row>
    <row r="622">
      <c r="E622" s="13"/>
      <c r="F622" s="15"/>
      <c r="G622" s="15"/>
      <c r="H622" s="16"/>
      <c r="I622" s="16"/>
    </row>
    <row r="623">
      <c r="E623" s="13"/>
      <c r="F623" s="15"/>
      <c r="G623" s="15"/>
      <c r="H623" s="16"/>
      <c r="I623" s="16"/>
    </row>
    <row r="624">
      <c r="E624" s="13"/>
      <c r="F624" s="15"/>
      <c r="G624" s="15"/>
      <c r="H624" s="16"/>
      <c r="I624" s="16"/>
    </row>
    <row r="625">
      <c r="E625" s="13"/>
      <c r="F625" s="15"/>
      <c r="G625" s="15"/>
      <c r="H625" s="16"/>
      <c r="I625" s="16"/>
    </row>
    <row r="626">
      <c r="E626" s="13"/>
      <c r="F626" s="15"/>
      <c r="G626" s="15"/>
      <c r="H626" s="16"/>
      <c r="I626" s="16"/>
    </row>
    <row r="627">
      <c r="E627" s="13"/>
      <c r="F627" s="15"/>
      <c r="G627" s="15"/>
      <c r="H627" s="16"/>
      <c r="I627" s="16"/>
    </row>
    <row r="628">
      <c r="E628" s="13"/>
      <c r="F628" s="15"/>
      <c r="G628" s="15"/>
      <c r="H628" s="16"/>
      <c r="I628" s="16"/>
    </row>
    <row r="629">
      <c r="E629" s="13"/>
      <c r="F629" s="15"/>
      <c r="G629" s="15"/>
      <c r="H629" s="16"/>
      <c r="I629" s="16"/>
    </row>
    <row r="630">
      <c r="E630" s="13"/>
      <c r="F630" s="15"/>
      <c r="G630" s="15"/>
      <c r="H630" s="16"/>
      <c r="I630" s="16"/>
    </row>
    <row r="631">
      <c r="E631" s="13"/>
      <c r="F631" s="15"/>
      <c r="G631" s="15"/>
      <c r="H631" s="16"/>
      <c r="I631" s="16"/>
    </row>
    <row r="632">
      <c r="E632" s="13"/>
      <c r="F632" s="15"/>
      <c r="G632" s="15"/>
      <c r="H632" s="16"/>
      <c r="I632" s="16"/>
    </row>
    <row r="633">
      <c r="E633" s="13"/>
      <c r="F633" s="15"/>
      <c r="G633" s="15"/>
      <c r="H633" s="16"/>
      <c r="I633" s="16"/>
    </row>
    <row r="634">
      <c r="E634" s="13"/>
      <c r="F634" s="15"/>
      <c r="G634" s="15"/>
      <c r="H634" s="16"/>
      <c r="I634" s="16"/>
    </row>
    <row r="635">
      <c r="E635" s="13"/>
      <c r="F635" s="15"/>
      <c r="G635" s="15"/>
      <c r="H635" s="16"/>
      <c r="I635" s="16"/>
    </row>
    <row r="636">
      <c r="E636" s="13"/>
      <c r="F636" s="15"/>
      <c r="G636" s="15"/>
      <c r="H636" s="16"/>
      <c r="I636" s="16"/>
    </row>
    <row r="637">
      <c r="E637" s="13"/>
      <c r="F637" s="15"/>
      <c r="G637" s="15"/>
      <c r="H637" s="16"/>
      <c r="I637" s="16"/>
    </row>
    <row r="638">
      <c r="E638" s="13"/>
      <c r="F638" s="15"/>
      <c r="G638" s="15"/>
      <c r="H638" s="16"/>
      <c r="I638" s="16"/>
    </row>
    <row r="639">
      <c r="E639" s="13"/>
      <c r="F639" s="15"/>
      <c r="G639" s="15"/>
      <c r="H639" s="16"/>
      <c r="I639" s="16"/>
    </row>
    <row r="640">
      <c r="E640" s="13"/>
      <c r="F640" s="15"/>
      <c r="G640" s="15"/>
      <c r="H640" s="16"/>
      <c r="I640" s="16"/>
    </row>
    <row r="641">
      <c r="E641" s="13"/>
      <c r="F641" s="15"/>
      <c r="G641" s="15"/>
      <c r="H641" s="16"/>
      <c r="I641" s="16"/>
    </row>
    <row r="642">
      <c r="E642" s="13"/>
      <c r="F642" s="15"/>
      <c r="G642" s="15"/>
      <c r="H642" s="16"/>
      <c r="I642" s="16"/>
    </row>
    <row r="643">
      <c r="E643" s="13"/>
      <c r="F643" s="15"/>
      <c r="G643" s="15"/>
      <c r="H643" s="16"/>
      <c r="I643" s="16"/>
    </row>
    <row r="644">
      <c r="E644" s="13"/>
      <c r="F644" s="15"/>
      <c r="G644" s="15"/>
      <c r="H644" s="16"/>
      <c r="I644" s="16"/>
    </row>
    <row r="645">
      <c r="E645" s="13"/>
      <c r="F645" s="15"/>
      <c r="G645" s="15"/>
      <c r="H645" s="16"/>
      <c r="I645" s="16"/>
    </row>
    <row r="646">
      <c r="E646" s="13"/>
      <c r="F646" s="15"/>
      <c r="G646" s="15"/>
      <c r="H646" s="16"/>
      <c r="I646" s="16"/>
    </row>
    <row r="647">
      <c r="E647" s="13"/>
      <c r="F647" s="15"/>
      <c r="G647" s="15"/>
      <c r="H647" s="16"/>
      <c r="I647" s="16"/>
    </row>
    <row r="648">
      <c r="E648" s="13"/>
      <c r="F648" s="15"/>
      <c r="G648" s="15"/>
      <c r="H648" s="16"/>
      <c r="I648" s="16"/>
    </row>
    <row r="649">
      <c r="E649" s="13"/>
      <c r="F649" s="15"/>
      <c r="G649" s="15"/>
      <c r="H649" s="16"/>
      <c r="I649" s="16"/>
    </row>
    <row r="650">
      <c r="E650" s="13"/>
      <c r="F650" s="15"/>
      <c r="G650" s="15"/>
      <c r="H650" s="16"/>
      <c r="I650" s="16"/>
    </row>
    <row r="651">
      <c r="E651" s="13"/>
      <c r="F651" s="15"/>
      <c r="G651" s="15"/>
      <c r="H651" s="16"/>
      <c r="I651" s="16"/>
    </row>
    <row r="652">
      <c r="E652" s="13"/>
      <c r="F652" s="15"/>
      <c r="G652" s="15"/>
      <c r="H652" s="16"/>
      <c r="I652" s="16"/>
    </row>
    <row r="653">
      <c r="E653" s="13"/>
      <c r="F653" s="15"/>
      <c r="G653" s="15"/>
      <c r="H653" s="16"/>
      <c r="I653" s="16"/>
    </row>
    <row r="654">
      <c r="E654" s="13"/>
      <c r="F654" s="15"/>
      <c r="G654" s="15"/>
      <c r="H654" s="16"/>
      <c r="I654" s="16"/>
    </row>
    <row r="655">
      <c r="E655" s="13"/>
      <c r="F655" s="15"/>
      <c r="G655" s="15"/>
      <c r="H655" s="16"/>
      <c r="I655" s="16"/>
    </row>
    <row r="656">
      <c r="E656" s="13"/>
      <c r="F656" s="15"/>
      <c r="G656" s="15"/>
      <c r="H656" s="16"/>
      <c r="I656" s="16"/>
    </row>
    <row r="657">
      <c r="E657" s="13"/>
      <c r="F657" s="15"/>
      <c r="G657" s="15"/>
      <c r="H657" s="16"/>
      <c r="I657" s="16"/>
    </row>
    <row r="658">
      <c r="E658" s="13"/>
      <c r="F658" s="15"/>
      <c r="G658" s="15"/>
      <c r="H658" s="16"/>
      <c r="I658" s="16"/>
    </row>
    <row r="659">
      <c r="E659" s="13"/>
      <c r="F659" s="15"/>
      <c r="G659" s="15"/>
      <c r="H659" s="16"/>
      <c r="I659" s="16"/>
    </row>
    <row r="660">
      <c r="E660" s="13"/>
      <c r="F660" s="15"/>
      <c r="G660" s="15"/>
      <c r="H660" s="16"/>
      <c r="I660" s="16"/>
    </row>
    <row r="661">
      <c r="E661" s="13"/>
      <c r="F661" s="15"/>
      <c r="G661" s="15"/>
      <c r="H661" s="16"/>
      <c r="I661" s="16"/>
    </row>
    <row r="662">
      <c r="E662" s="13"/>
      <c r="F662" s="15"/>
      <c r="G662" s="15"/>
      <c r="H662" s="16"/>
      <c r="I662" s="16"/>
    </row>
    <row r="663">
      <c r="E663" s="13"/>
      <c r="F663" s="15"/>
      <c r="G663" s="15"/>
      <c r="H663" s="16"/>
      <c r="I663" s="16"/>
    </row>
    <row r="664">
      <c r="E664" s="13"/>
      <c r="F664" s="15"/>
      <c r="G664" s="15"/>
      <c r="H664" s="16"/>
      <c r="I664" s="16"/>
    </row>
    <row r="665">
      <c r="E665" s="13"/>
      <c r="F665" s="15"/>
      <c r="G665" s="15"/>
      <c r="H665" s="16"/>
      <c r="I665" s="16"/>
    </row>
    <row r="666">
      <c r="E666" s="13"/>
      <c r="F666" s="15"/>
      <c r="G666" s="15"/>
      <c r="H666" s="16"/>
      <c r="I666" s="16"/>
    </row>
    <row r="667">
      <c r="E667" s="13"/>
      <c r="F667" s="15"/>
      <c r="G667" s="15"/>
      <c r="H667" s="16"/>
      <c r="I667" s="16"/>
    </row>
    <row r="668">
      <c r="E668" s="13"/>
      <c r="F668" s="15"/>
      <c r="G668" s="15"/>
      <c r="H668" s="16"/>
      <c r="I668" s="16"/>
    </row>
    <row r="669">
      <c r="E669" s="13"/>
      <c r="F669" s="15"/>
      <c r="G669" s="15"/>
      <c r="H669" s="16"/>
      <c r="I669" s="16"/>
    </row>
    <row r="670">
      <c r="E670" s="13"/>
      <c r="F670" s="15"/>
      <c r="G670" s="15"/>
      <c r="H670" s="16"/>
      <c r="I670" s="16"/>
    </row>
    <row r="671">
      <c r="E671" s="13"/>
      <c r="F671" s="15"/>
      <c r="G671" s="15"/>
      <c r="H671" s="16"/>
      <c r="I671" s="16"/>
    </row>
    <row r="672">
      <c r="E672" s="13"/>
      <c r="F672" s="15"/>
      <c r="G672" s="15"/>
      <c r="H672" s="16"/>
      <c r="I672" s="16"/>
    </row>
    <row r="673">
      <c r="E673" s="13"/>
      <c r="F673" s="15"/>
      <c r="G673" s="15"/>
      <c r="H673" s="16"/>
      <c r="I673" s="16"/>
    </row>
    <row r="674">
      <c r="E674" s="13"/>
      <c r="F674" s="15"/>
      <c r="G674" s="15"/>
      <c r="H674" s="16"/>
      <c r="I674" s="16"/>
    </row>
    <row r="675">
      <c r="E675" s="13"/>
      <c r="F675" s="15"/>
      <c r="G675" s="15"/>
      <c r="H675" s="16"/>
      <c r="I675" s="16"/>
    </row>
    <row r="676">
      <c r="E676" s="13"/>
      <c r="F676" s="15"/>
      <c r="G676" s="15"/>
      <c r="H676" s="16"/>
      <c r="I676" s="16"/>
    </row>
    <row r="677">
      <c r="E677" s="13"/>
      <c r="F677" s="15"/>
      <c r="G677" s="15"/>
      <c r="H677" s="16"/>
      <c r="I677" s="16"/>
    </row>
    <row r="678">
      <c r="E678" s="13"/>
      <c r="F678" s="15"/>
      <c r="G678" s="15"/>
      <c r="H678" s="16"/>
      <c r="I678" s="16"/>
    </row>
    <row r="679">
      <c r="E679" s="13"/>
      <c r="F679" s="15"/>
      <c r="G679" s="15"/>
      <c r="H679" s="16"/>
      <c r="I679" s="16"/>
    </row>
    <row r="680">
      <c r="E680" s="13"/>
      <c r="F680" s="15"/>
      <c r="G680" s="15"/>
      <c r="H680" s="16"/>
      <c r="I680" s="16"/>
    </row>
    <row r="681">
      <c r="E681" s="13"/>
      <c r="F681" s="15"/>
      <c r="G681" s="15"/>
      <c r="H681" s="16"/>
      <c r="I681" s="16"/>
    </row>
    <row r="682">
      <c r="E682" s="13"/>
      <c r="F682" s="15"/>
      <c r="G682" s="15"/>
      <c r="H682" s="16"/>
      <c r="I682" s="16"/>
    </row>
    <row r="683">
      <c r="E683" s="13"/>
      <c r="F683" s="15"/>
      <c r="G683" s="15"/>
      <c r="H683" s="16"/>
      <c r="I683" s="16"/>
    </row>
    <row r="684">
      <c r="E684" s="13"/>
      <c r="F684" s="15"/>
      <c r="G684" s="15"/>
      <c r="H684" s="16"/>
      <c r="I684" s="16"/>
    </row>
    <row r="685">
      <c r="E685" s="13"/>
      <c r="F685" s="15"/>
      <c r="G685" s="15"/>
      <c r="H685" s="16"/>
      <c r="I685" s="16"/>
    </row>
    <row r="686">
      <c r="E686" s="13"/>
      <c r="F686" s="15"/>
      <c r="G686" s="15"/>
      <c r="H686" s="16"/>
      <c r="I686" s="16"/>
    </row>
    <row r="687">
      <c r="E687" s="13"/>
      <c r="F687" s="15"/>
      <c r="G687" s="15"/>
      <c r="H687" s="16"/>
      <c r="I687" s="16"/>
    </row>
    <row r="688">
      <c r="E688" s="13"/>
      <c r="F688" s="15"/>
      <c r="G688" s="15"/>
      <c r="H688" s="16"/>
      <c r="I688" s="16"/>
    </row>
    <row r="689">
      <c r="E689" s="13"/>
      <c r="F689" s="15"/>
      <c r="G689" s="15"/>
      <c r="H689" s="16"/>
      <c r="I689" s="16"/>
    </row>
    <row r="690">
      <c r="E690" s="13"/>
      <c r="F690" s="15"/>
      <c r="G690" s="15"/>
      <c r="H690" s="16"/>
      <c r="I690" s="16"/>
    </row>
    <row r="691">
      <c r="E691" s="13"/>
      <c r="F691" s="15"/>
      <c r="G691" s="15"/>
      <c r="H691" s="16"/>
      <c r="I691" s="16"/>
    </row>
    <row r="692">
      <c r="E692" s="13"/>
      <c r="F692" s="15"/>
      <c r="G692" s="15"/>
      <c r="H692" s="16"/>
      <c r="I692" s="16"/>
    </row>
    <row r="693">
      <c r="E693" s="13"/>
      <c r="F693" s="15"/>
      <c r="G693" s="15"/>
      <c r="H693" s="16"/>
      <c r="I693" s="16"/>
    </row>
    <row r="694">
      <c r="E694" s="13"/>
      <c r="F694" s="15"/>
      <c r="G694" s="15"/>
      <c r="H694" s="16"/>
      <c r="I694" s="16"/>
    </row>
    <row r="695">
      <c r="E695" s="13"/>
      <c r="F695" s="15"/>
      <c r="G695" s="15"/>
      <c r="H695" s="16"/>
      <c r="I695" s="16"/>
    </row>
    <row r="696">
      <c r="E696" s="13"/>
      <c r="F696" s="15"/>
      <c r="G696" s="15"/>
      <c r="H696" s="16"/>
      <c r="I696" s="16"/>
    </row>
    <row r="697">
      <c r="E697" s="13"/>
      <c r="F697" s="15"/>
      <c r="G697" s="15"/>
      <c r="H697" s="16"/>
      <c r="I697" s="16"/>
    </row>
    <row r="698">
      <c r="E698" s="13"/>
      <c r="F698" s="15"/>
      <c r="G698" s="15"/>
      <c r="H698" s="16"/>
      <c r="I698" s="16"/>
    </row>
    <row r="699">
      <c r="E699" s="13"/>
      <c r="F699" s="15"/>
      <c r="G699" s="15"/>
      <c r="H699" s="16"/>
      <c r="I699" s="16"/>
    </row>
    <row r="700">
      <c r="E700" s="13"/>
      <c r="F700" s="15"/>
      <c r="G700" s="15"/>
      <c r="H700" s="16"/>
      <c r="I700" s="16"/>
    </row>
    <row r="701">
      <c r="E701" s="13"/>
      <c r="F701" s="15"/>
      <c r="G701" s="15"/>
      <c r="H701" s="16"/>
      <c r="I701" s="16"/>
    </row>
    <row r="702">
      <c r="E702" s="13"/>
      <c r="F702" s="15"/>
      <c r="G702" s="15"/>
      <c r="H702" s="16"/>
      <c r="I702" s="16"/>
    </row>
    <row r="703">
      <c r="E703" s="13"/>
      <c r="F703" s="15"/>
      <c r="G703" s="15"/>
      <c r="H703" s="16"/>
      <c r="I703" s="16"/>
    </row>
    <row r="704">
      <c r="E704" s="13"/>
      <c r="F704" s="15"/>
      <c r="G704" s="15"/>
      <c r="H704" s="16"/>
      <c r="I704" s="16"/>
    </row>
    <row r="705">
      <c r="E705" s="13"/>
      <c r="F705" s="15"/>
      <c r="G705" s="15"/>
      <c r="H705" s="16"/>
      <c r="I705" s="16"/>
    </row>
    <row r="706">
      <c r="E706" s="13"/>
      <c r="F706" s="15"/>
      <c r="G706" s="15"/>
      <c r="H706" s="16"/>
      <c r="I706" s="16"/>
    </row>
    <row r="707">
      <c r="E707" s="13"/>
      <c r="F707" s="15"/>
      <c r="G707" s="15"/>
      <c r="H707" s="16"/>
      <c r="I707" s="16"/>
    </row>
    <row r="708">
      <c r="E708" s="13"/>
      <c r="F708" s="15"/>
      <c r="G708" s="15"/>
      <c r="H708" s="16"/>
      <c r="I708" s="16"/>
    </row>
    <row r="709">
      <c r="E709" s="13"/>
      <c r="F709" s="15"/>
      <c r="G709" s="15"/>
      <c r="H709" s="16"/>
      <c r="I709" s="16"/>
    </row>
    <row r="710">
      <c r="E710" s="13"/>
      <c r="F710" s="15"/>
      <c r="G710" s="15"/>
      <c r="H710" s="16"/>
      <c r="I710" s="16"/>
    </row>
    <row r="711">
      <c r="E711" s="13"/>
      <c r="F711" s="15"/>
      <c r="G711" s="15"/>
      <c r="H711" s="16"/>
      <c r="I711" s="16"/>
    </row>
    <row r="712">
      <c r="E712" s="13"/>
      <c r="F712" s="15"/>
      <c r="G712" s="15"/>
      <c r="H712" s="16"/>
      <c r="I712" s="16"/>
    </row>
    <row r="713">
      <c r="E713" s="13"/>
      <c r="F713" s="15"/>
      <c r="G713" s="15"/>
      <c r="H713" s="16"/>
      <c r="I713" s="16"/>
    </row>
    <row r="714">
      <c r="E714" s="13"/>
      <c r="F714" s="15"/>
      <c r="G714" s="15"/>
      <c r="H714" s="16"/>
      <c r="I714" s="16"/>
    </row>
    <row r="715">
      <c r="E715" s="13"/>
      <c r="F715" s="15"/>
      <c r="G715" s="15"/>
      <c r="H715" s="16"/>
      <c r="I715" s="16"/>
    </row>
    <row r="716">
      <c r="E716" s="13"/>
      <c r="F716" s="15"/>
      <c r="G716" s="15"/>
      <c r="H716" s="16"/>
      <c r="I716" s="16"/>
    </row>
    <row r="717">
      <c r="E717" s="13"/>
      <c r="F717" s="15"/>
      <c r="G717" s="15"/>
      <c r="H717" s="16"/>
      <c r="I717" s="16"/>
    </row>
    <row r="718">
      <c r="E718" s="13"/>
      <c r="F718" s="15"/>
      <c r="G718" s="15"/>
      <c r="H718" s="16"/>
      <c r="I718" s="16"/>
    </row>
    <row r="719">
      <c r="E719" s="13"/>
      <c r="F719" s="15"/>
      <c r="G719" s="15"/>
      <c r="H719" s="16"/>
      <c r="I719" s="16"/>
    </row>
    <row r="720">
      <c r="E720" s="13"/>
      <c r="F720" s="15"/>
      <c r="G720" s="15"/>
      <c r="H720" s="16"/>
      <c r="I720" s="16"/>
    </row>
    <row r="721">
      <c r="E721" s="13"/>
      <c r="F721" s="15"/>
      <c r="G721" s="15"/>
      <c r="H721" s="16"/>
      <c r="I721" s="16"/>
    </row>
    <row r="722">
      <c r="E722" s="13"/>
      <c r="F722" s="15"/>
      <c r="G722" s="15"/>
      <c r="H722" s="16"/>
      <c r="I722" s="16"/>
    </row>
    <row r="723">
      <c r="E723" s="13"/>
      <c r="F723" s="15"/>
      <c r="G723" s="15"/>
      <c r="H723" s="16"/>
      <c r="I723" s="16"/>
    </row>
    <row r="724">
      <c r="E724" s="13"/>
      <c r="F724" s="15"/>
      <c r="G724" s="15"/>
      <c r="H724" s="16"/>
      <c r="I724" s="16"/>
    </row>
    <row r="725">
      <c r="E725" s="13"/>
      <c r="F725" s="15"/>
      <c r="G725" s="15"/>
      <c r="H725" s="16"/>
      <c r="I725" s="16"/>
    </row>
    <row r="726">
      <c r="E726" s="13"/>
      <c r="F726" s="15"/>
      <c r="G726" s="15"/>
      <c r="H726" s="16"/>
      <c r="I726" s="16"/>
    </row>
    <row r="727">
      <c r="E727" s="13"/>
      <c r="F727" s="15"/>
      <c r="G727" s="15"/>
      <c r="H727" s="16"/>
      <c r="I727" s="16"/>
    </row>
    <row r="728">
      <c r="E728" s="13"/>
      <c r="F728" s="15"/>
      <c r="G728" s="15"/>
      <c r="H728" s="16"/>
      <c r="I728" s="16"/>
    </row>
    <row r="729">
      <c r="E729" s="13"/>
      <c r="F729" s="15"/>
      <c r="G729" s="15"/>
      <c r="H729" s="16"/>
      <c r="I729" s="16"/>
    </row>
    <row r="730">
      <c r="E730" s="13"/>
      <c r="F730" s="15"/>
      <c r="G730" s="15"/>
      <c r="H730" s="16"/>
      <c r="I730" s="16"/>
    </row>
    <row r="731">
      <c r="E731" s="13"/>
      <c r="F731" s="15"/>
      <c r="G731" s="15"/>
      <c r="H731" s="16"/>
      <c r="I731" s="16"/>
    </row>
    <row r="732">
      <c r="E732" s="13"/>
      <c r="F732" s="15"/>
      <c r="G732" s="15"/>
      <c r="H732" s="16"/>
      <c r="I732" s="16"/>
    </row>
    <row r="733">
      <c r="E733" s="13"/>
      <c r="F733" s="15"/>
      <c r="G733" s="15"/>
      <c r="H733" s="16"/>
      <c r="I733" s="16"/>
    </row>
    <row r="734">
      <c r="E734" s="13"/>
      <c r="F734" s="15"/>
      <c r="G734" s="15"/>
      <c r="H734" s="16"/>
      <c r="I734" s="16"/>
    </row>
    <row r="735">
      <c r="E735" s="13"/>
      <c r="F735" s="15"/>
      <c r="G735" s="15"/>
      <c r="H735" s="16"/>
      <c r="I735" s="16"/>
    </row>
    <row r="736">
      <c r="E736" s="13"/>
      <c r="F736" s="15"/>
      <c r="G736" s="15"/>
      <c r="H736" s="16"/>
      <c r="I736" s="16"/>
    </row>
    <row r="737">
      <c r="E737" s="13"/>
      <c r="F737" s="15"/>
      <c r="G737" s="15"/>
      <c r="H737" s="16"/>
      <c r="I737" s="16"/>
    </row>
    <row r="738">
      <c r="E738" s="13"/>
      <c r="F738" s="15"/>
      <c r="G738" s="15"/>
      <c r="H738" s="16"/>
      <c r="I738" s="16"/>
    </row>
    <row r="739">
      <c r="E739" s="13"/>
      <c r="F739" s="15"/>
      <c r="G739" s="15"/>
      <c r="H739" s="16"/>
      <c r="I739" s="16"/>
    </row>
    <row r="740">
      <c r="E740" s="13"/>
      <c r="F740" s="15"/>
      <c r="G740" s="15"/>
      <c r="H740" s="16"/>
      <c r="I740" s="16"/>
    </row>
    <row r="741">
      <c r="E741" s="13"/>
      <c r="F741" s="15"/>
      <c r="G741" s="15"/>
      <c r="H741" s="16"/>
      <c r="I741" s="16"/>
    </row>
    <row r="742">
      <c r="E742" s="13"/>
      <c r="F742" s="15"/>
      <c r="G742" s="15"/>
      <c r="H742" s="16"/>
      <c r="I742" s="16"/>
    </row>
    <row r="743">
      <c r="E743" s="13"/>
      <c r="F743" s="15"/>
      <c r="G743" s="15"/>
      <c r="H743" s="16"/>
      <c r="I743" s="16"/>
    </row>
    <row r="744">
      <c r="E744" s="13"/>
      <c r="F744" s="15"/>
      <c r="G744" s="15"/>
      <c r="H744" s="16"/>
      <c r="I744" s="16"/>
    </row>
    <row r="745">
      <c r="E745" s="13"/>
      <c r="F745" s="15"/>
      <c r="G745" s="15"/>
      <c r="H745" s="16"/>
      <c r="I745" s="16"/>
    </row>
    <row r="746">
      <c r="E746" s="13"/>
      <c r="F746" s="15"/>
      <c r="G746" s="15"/>
      <c r="H746" s="16"/>
      <c r="I746" s="16"/>
    </row>
    <row r="747">
      <c r="E747" s="13"/>
      <c r="F747" s="15"/>
      <c r="G747" s="15"/>
      <c r="H747" s="16"/>
      <c r="I747" s="16"/>
    </row>
    <row r="748">
      <c r="E748" s="13"/>
      <c r="F748" s="15"/>
      <c r="G748" s="15"/>
      <c r="H748" s="16"/>
      <c r="I748" s="16"/>
    </row>
    <row r="749">
      <c r="E749" s="13"/>
      <c r="F749" s="15"/>
      <c r="G749" s="15"/>
      <c r="H749" s="16"/>
      <c r="I749" s="16"/>
    </row>
    <row r="750">
      <c r="E750" s="13"/>
      <c r="F750" s="15"/>
      <c r="G750" s="15"/>
      <c r="H750" s="16"/>
      <c r="I750" s="16"/>
    </row>
    <row r="751">
      <c r="E751" s="13"/>
      <c r="F751" s="15"/>
      <c r="G751" s="15"/>
      <c r="H751" s="16"/>
      <c r="I751" s="16"/>
    </row>
    <row r="752">
      <c r="E752" s="13"/>
      <c r="F752" s="15"/>
      <c r="G752" s="15"/>
      <c r="H752" s="16"/>
      <c r="I752" s="16"/>
    </row>
    <row r="753">
      <c r="E753" s="13"/>
      <c r="F753" s="15"/>
      <c r="G753" s="15"/>
      <c r="H753" s="16"/>
      <c r="I753" s="16"/>
    </row>
    <row r="754">
      <c r="E754" s="13"/>
      <c r="F754" s="15"/>
      <c r="G754" s="15"/>
      <c r="H754" s="16"/>
      <c r="I754" s="16"/>
    </row>
    <row r="755">
      <c r="E755" s="13"/>
      <c r="F755" s="15"/>
      <c r="G755" s="15"/>
      <c r="H755" s="16"/>
      <c r="I755" s="16"/>
    </row>
    <row r="756">
      <c r="E756" s="13"/>
      <c r="F756" s="15"/>
      <c r="G756" s="15"/>
      <c r="H756" s="16"/>
      <c r="I756" s="16"/>
    </row>
    <row r="757">
      <c r="E757" s="13"/>
      <c r="F757" s="15"/>
      <c r="G757" s="15"/>
      <c r="H757" s="16"/>
      <c r="I757" s="16"/>
    </row>
    <row r="758">
      <c r="E758" s="13"/>
      <c r="F758" s="15"/>
      <c r="G758" s="15"/>
      <c r="H758" s="16"/>
      <c r="I758" s="16"/>
    </row>
    <row r="759">
      <c r="E759" s="13"/>
      <c r="F759" s="15"/>
      <c r="G759" s="15"/>
      <c r="H759" s="16"/>
      <c r="I759" s="16"/>
    </row>
    <row r="760">
      <c r="E760" s="13"/>
      <c r="F760" s="15"/>
      <c r="G760" s="15"/>
      <c r="H760" s="16"/>
      <c r="I760" s="16"/>
    </row>
    <row r="761">
      <c r="E761" s="13"/>
      <c r="F761" s="15"/>
      <c r="G761" s="15"/>
      <c r="H761" s="16"/>
      <c r="I761" s="16"/>
    </row>
    <row r="762">
      <c r="E762" s="13"/>
      <c r="F762" s="15"/>
      <c r="G762" s="15"/>
      <c r="H762" s="16"/>
      <c r="I762" s="16"/>
    </row>
    <row r="763">
      <c r="E763" s="13"/>
      <c r="F763" s="15"/>
      <c r="G763" s="15"/>
      <c r="H763" s="16"/>
      <c r="I763" s="16"/>
    </row>
    <row r="764">
      <c r="E764" s="13"/>
      <c r="F764" s="15"/>
      <c r="G764" s="15"/>
      <c r="H764" s="16"/>
      <c r="I764" s="16"/>
    </row>
    <row r="765">
      <c r="E765" s="13"/>
      <c r="F765" s="15"/>
      <c r="G765" s="15"/>
      <c r="H765" s="16"/>
      <c r="I765" s="16"/>
    </row>
    <row r="766">
      <c r="E766" s="13"/>
      <c r="F766" s="15"/>
      <c r="G766" s="15"/>
      <c r="H766" s="16"/>
      <c r="I766" s="16"/>
    </row>
    <row r="767">
      <c r="E767" s="13"/>
      <c r="F767" s="15"/>
      <c r="G767" s="15"/>
      <c r="H767" s="16"/>
      <c r="I767" s="16"/>
    </row>
    <row r="768">
      <c r="E768" s="13"/>
      <c r="F768" s="15"/>
      <c r="G768" s="15"/>
      <c r="H768" s="16"/>
      <c r="I768" s="16"/>
    </row>
    <row r="769">
      <c r="E769" s="13"/>
      <c r="F769" s="15"/>
      <c r="G769" s="15"/>
      <c r="H769" s="16"/>
      <c r="I769" s="16"/>
    </row>
    <row r="770">
      <c r="E770" s="13"/>
      <c r="F770" s="15"/>
      <c r="G770" s="15"/>
      <c r="H770" s="16"/>
      <c r="I770" s="16"/>
    </row>
    <row r="771">
      <c r="E771" s="13"/>
      <c r="F771" s="15"/>
      <c r="G771" s="15"/>
      <c r="H771" s="16"/>
      <c r="I771" s="16"/>
    </row>
    <row r="772">
      <c r="E772" s="13"/>
      <c r="F772" s="15"/>
      <c r="G772" s="15"/>
      <c r="H772" s="16"/>
      <c r="I772" s="16"/>
    </row>
    <row r="773">
      <c r="E773" s="13"/>
      <c r="F773" s="15"/>
      <c r="G773" s="15"/>
      <c r="H773" s="16"/>
      <c r="I773" s="16"/>
    </row>
    <row r="774">
      <c r="E774" s="13"/>
      <c r="F774" s="15"/>
      <c r="G774" s="15"/>
      <c r="H774" s="16"/>
      <c r="I774" s="16"/>
    </row>
    <row r="775">
      <c r="E775" s="13"/>
      <c r="F775" s="15"/>
      <c r="G775" s="15"/>
      <c r="H775" s="16"/>
      <c r="I775" s="16"/>
    </row>
    <row r="776">
      <c r="E776" s="13"/>
      <c r="F776" s="15"/>
      <c r="G776" s="15"/>
      <c r="H776" s="16"/>
      <c r="I776" s="16"/>
    </row>
    <row r="777">
      <c r="E777" s="13"/>
      <c r="F777" s="15"/>
      <c r="G777" s="15"/>
      <c r="H777" s="16"/>
      <c r="I777" s="16"/>
    </row>
    <row r="778">
      <c r="E778" s="13"/>
      <c r="F778" s="15"/>
      <c r="G778" s="15"/>
      <c r="H778" s="16"/>
      <c r="I778" s="16"/>
    </row>
    <row r="779">
      <c r="E779" s="13"/>
      <c r="F779" s="15"/>
      <c r="G779" s="15"/>
      <c r="H779" s="16"/>
      <c r="I779" s="16"/>
    </row>
    <row r="780">
      <c r="E780" s="13"/>
      <c r="F780" s="15"/>
      <c r="G780" s="15"/>
      <c r="H780" s="16"/>
      <c r="I780" s="16"/>
    </row>
    <row r="781">
      <c r="E781" s="13"/>
      <c r="F781" s="15"/>
      <c r="G781" s="15"/>
      <c r="H781" s="16"/>
      <c r="I781" s="16"/>
    </row>
    <row r="782">
      <c r="E782" s="13"/>
      <c r="F782" s="15"/>
      <c r="G782" s="15"/>
      <c r="H782" s="16"/>
      <c r="I782" s="16"/>
    </row>
    <row r="783">
      <c r="E783" s="13"/>
      <c r="F783" s="15"/>
      <c r="G783" s="15"/>
      <c r="H783" s="16"/>
      <c r="I783" s="16"/>
    </row>
    <row r="784">
      <c r="E784" s="13"/>
      <c r="F784" s="15"/>
      <c r="G784" s="15"/>
      <c r="H784" s="16"/>
      <c r="I784" s="16"/>
    </row>
    <row r="785">
      <c r="E785" s="13"/>
      <c r="F785" s="15"/>
      <c r="G785" s="15"/>
      <c r="H785" s="16"/>
      <c r="I785" s="16"/>
    </row>
    <row r="786">
      <c r="E786" s="13"/>
      <c r="F786" s="15"/>
      <c r="G786" s="15"/>
      <c r="H786" s="16"/>
      <c r="I786" s="16"/>
    </row>
    <row r="787">
      <c r="E787" s="13"/>
      <c r="F787" s="15"/>
      <c r="G787" s="15"/>
      <c r="H787" s="16"/>
      <c r="I787" s="16"/>
    </row>
    <row r="788">
      <c r="E788" s="13"/>
      <c r="F788" s="15"/>
      <c r="G788" s="15"/>
      <c r="H788" s="16"/>
      <c r="I788" s="16"/>
    </row>
    <row r="789">
      <c r="E789" s="13"/>
      <c r="F789" s="15"/>
      <c r="G789" s="15"/>
      <c r="H789" s="16"/>
      <c r="I789" s="16"/>
    </row>
    <row r="790">
      <c r="E790" s="13"/>
      <c r="F790" s="15"/>
      <c r="G790" s="15"/>
      <c r="H790" s="16"/>
      <c r="I790" s="16"/>
    </row>
    <row r="791">
      <c r="E791" s="13"/>
      <c r="F791" s="15"/>
      <c r="G791" s="15"/>
      <c r="H791" s="16"/>
      <c r="I791" s="16"/>
    </row>
    <row r="792">
      <c r="E792" s="13"/>
      <c r="F792" s="15"/>
      <c r="G792" s="15"/>
      <c r="H792" s="16"/>
      <c r="I792" s="16"/>
    </row>
    <row r="793">
      <c r="E793" s="13"/>
      <c r="F793" s="15"/>
      <c r="G793" s="15"/>
      <c r="H793" s="16"/>
      <c r="I793" s="16"/>
    </row>
    <row r="794">
      <c r="E794" s="13"/>
      <c r="F794" s="15"/>
      <c r="G794" s="15"/>
      <c r="H794" s="16"/>
      <c r="I794" s="16"/>
    </row>
    <row r="795">
      <c r="E795" s="13"/>
      <c r="F795" s="15"/>
      <c r="G795" s="15"/>
      <c r="H795" s="16"/>
      <c r="I795" s="16"/>
    </row>
    <row r="796">
      <c r="E796" s="13"/>
      <c r="F796" s="15"/>
      <c r="G796" s="15"/>
      <c r="H796" s="16"/>
      <c r="I796" s="16"/>
    </row>
    <row r="797">
      <c r="E797" s="13"/>
      <c r="F797" s="15"/>
      <c r="G797" s="15"/>
      <c r="H797" s="16"/>
      <c r="I797" s="16"/>
    </row>
    <row r="798">
      <c r="E798" s="13"/>
      <c r="F798" s="15"/>
      <c r="G798" s="15"/>
      <c r="H798" s="16"/>
      <c r="I798" s="16"/>
    </row>
    <row r="799">
      <c r="E799" s="13"/>
      <c r="F799" s="15"/>
      <c r="G799" s="15"/>
      <c r="H799" s="16"/>
      <c r="I799" s="16"/>
    </row>
    <row r="800">
      <c r="E800" s="13"/>
      <c r="F800" s="15"/>
      <c r="G800" s="15"/>
      <c r="H800" s="16"/>
      <c r="I800" s="16"/>
    </row>
    <row r="801">
      <c r="E801" s="13"/>
      <c r="F801" s="15"/>
      <c r="G801" s="15"/>
      <c r="H801" s="16"/>
      <c r="I801" s="16"/>
    </row>
    <row r="802">
      <c r="E802" s="13"/>
      <c r="F802" s="15"/>
      <c r="G802" s="15"/>
      <c r="H802" s="16"/>
      <c r="I802" s="16"/>
    </row>
    <row r="803">
      <c r="E803" s="13"/>
      <c r="F803" s="15"/>
      <c r="G803" s="15"/>
      <c r="H803" s="16"/>
      <c r="I803" s="16"/>
    </row>
    <row r="804">
      <c r="E804" s="13"/>
      <c r="F804" s="15"/>
      <c r="G804" s="15"/>
      <c r="H804" s="16"/>
      <c r="I804" s="16"/>
    </row>
    <row r="805">
      <c r="E805" s="13"/>
      <c r="F805" s="15"/>
      <c r="G805" s="15"/>
      <c r="H805" s="16"/>
      <c r="I805" s="16"/>
    </row>
    <row r="806">
      <c r="E806" s="13"/>
      <c r="F806" s="15"/>
      <c r="G806" s="15"/>
      <c r="H806" s="16"/>
      <c r="I806" s="16"/>
    </row>
    <row r="807">
      <c r="E807" s="13"/>
      <c r="F807" s="15"/>
      <c r="G807" s="15"/>
      <c r="H807" s="16"/>
      <c r="I807" s="16"/>
    </row>
    <row r="808">
      <c r="E808" s="13"/>
      <c r="F808" s="15"/>
      <c r="G808" s="15"/>
      <c r="H808" s="16"/>
      <c r="I808" s="16"/>
    </row>
    <row r="809">
      <c r="E809" s="13"/>
      <c r="F809" s="15"/>
      <c r="G809" s="15"/>
      <c r="H809" s="16"/>
      <c r="I809" s="16"/>
    </row>
    <row r="810">
      <c r="E810" s="13"/>
      <c r="F810" s="15"/>
      <c r="G810" s="15"/>
      <c r="H810" s="16"/>
      <c r="I810" s="16"/>
    </row>
    <row r="811">
      <c r="E811" s="13"/>
      <c r="F811" s="15"/>
      <c r="G811" s="15"/>
      <c r="H811" s="16"/>
      <c r="I811" s="16"/>
    </row>
    <row r="812">
      <c r="E812" s="13"/>
      <c r="F812" s="15"/>
      <c r="G812" s="15"/>
      <c r="H812" s="16"/>
      <c r="I812" s="16"/>
    </row>
    <row r="813">
      <c r="E813" s="13"/>
      <c r="F813" s="15"/>
      <c r="G813" s="15"/>
      <c r="H813" s="16"/>
      <c r="I813" s="16"/>
    </row>
    <row r="814">
      <c r="E814" s="13"/>
      <c r="F814" s="15"/>
      <c r="G814" s="15"/>
      <c r="H814" s="16"/>
      <c r="I814" s="16"/>
    </row>
    <row r="815">
      <c r="E815" s="13"/>
      <c r="F815" s="15"/>
      <c r="G815" s="15"/>
      <c r="H815" s="16"/>
      <c r="I815" s="16"/>
    </row>
    <row r="816">
      <c r="E816" s="13"/>
      <c r="F816" s="15"/>
      <c r="G816" s="15"/>
      <c r="H816" s="16"/>
      <c r="I816" s="16"/>
    </row>
    <row r="817">
      <c r="E817" s="13"/>
      <c r="F817" s="15"/>
      <c r="G817" s="15"/>
      <c r="H817" s="16"/>
      <c r="I817" s="16"/>
    </row>
    <row r="818">
      <c r="E818" s="13"/>
      <c r="F818" s="15"/>
      <c r="G818" s="15"/>
      <c r="H818" s="16"/>
      <c r="I818" s="16"/>
    </row>
    <row r="819">
      <c r="E819" s="13"/>
      <c r="F819" s="15"/>
      <c r="G819" s="15"/>
      <c r="H819" s="16"/>
      <c r="I819" s="16"/>
    </row>
    <row r="820">
      <c r="E820" s="13"/>
      <c r="F820" s="15"/>
      <c r="G820" s="15"/>
      <c r="H820" s="16"/>
      <c r="I820" s="16"/>
    </row>
    <row r="821">
      <c r="E821" s="13"/>
      <c r="F821" s="15"/>
      <c r="G821" s="15"/>
      <c r="H821" s="16"/>
      <c r="I821" s="16"/>
    </row>
    <row r="822">
      <c r="E822" s="13"/>
      <c r="F822" s="15"/>
      <c r="G822" s="15"/>
      <c r="H822" s="16"/>
      <c r="I822" s="16"/>
    </row>
    <row r="823">
      <c r="E823" s="13"/>
      <c r="F823" s="15"/>
      <c r="G823" s="15"/>
      <c r="H823" s="16"/>
      <c r="I823" s="16"/>
    </row>
    <row r="824">
      <c r="E824" s="13"/>
      <c r="F824" s="15"/>
      <c r="G824" s="15"/>
      <c r="H824" s="16"/>
      <c r="I824" s="16"/>
    </row>
    <row r="825">
      <c r="E825" s="13"/>
      <c r="F825" s="15"/>
      <c r="G825" s="15"/>
      <c r="H825" s="16"/>
      <c r="I825" s="16"/>
    </row>
    <row r="826">
      <c r="E826" s="13"/>
      <c r="F826" s="15"/>
      <c r="G826" s="15"/>
      <c r="H826" s="16"/>
      <c r="I826" s="16"/>
    </row>
    <row r="827">
      <c r="E827" s="13"/>
      <c r="F827" s="15"/>
      <c r="G827" s="15"/>
      <c r="H827" s="16"/>
      <c r="I827" s="16"/>
    </row>
    <row r="828">
      <c r="E828" s="13"/>
      <c r="F828" s="15"/>
      <c r="G828" s="15"/>
      <c r="H828" s="16"/>
      <c r="I828" s="16"/>
    </row>
    <row r="829">
      <c r="E829" s="13"/>
      <c r="F829" s="15"/>
      <c r="G829" s="15"/>
      <c r="H829" s="16"/>
      <c r="I829" s="16"/>
    </row>
    <row r="830">
      <c r="E830" s="13"/>
      <c r="F830" s="15"/>
      <c r="G830" s="15"/>
      <c r="H830" s="16"/>
      <c r="I830" s="16"/>
    </row>
    <row r="831">
      <c r="E831" s="13"/>
      <c r="F831" s="15"/>
      <c r="G831" s="15"/>
      <c r="H831" s="16"/>
      <c r="I831" s="16"/>
    </row>
    <row r="832">
      <c r="E832" s="13"/>
      <c r="F832" s="15"/>
      <c r="G832" s="15"/>
      <c r="H832" s="16"/>
      <c r="I832" s="16"/>
    </row>
    <row r="833">
      <c r="E833" s="13"/>
      <c r="F833" s="15"/>
      <c r="G833" s="15"/>
      <c r="H833" s="16"/>
      <c r="I833" s="16"/>
    </row>
    <row r="834">
      <c r="E834" s="13"/>
      <c r="F834" s="15"/>
      <c r="G834" s="15"/>
      <c r="H834" s="16"/>
      <c r="I834" s="16"/>
    </row>
    <row r="835">
      <c r="E835" s="13"/>
      <c r="F835" s="15"/>
      <c r="G835" s="15"/>
      <c r="H835" s="16"/>
      <c r="I835" s="16"/>
    </row>
    <row r="836">
      <c r="E836" s="13"/>
      <c r="F836" s="15"/>
      <c r="G836" s="15"/>
      <c r="H836" s="16"/>
      <c r="I836" s="16"/>
    </row>
    <row r="837">
      <c r="E837" s="13"/>
      <c r="F837" s="15"/>
      <c r="G837" s="15"/>
      <c r="H837" s="16"/>
      <c r="I837" s="16"/>
    </row>
    <row r="838">
      <c r="E838" s="13"/>
      <c r="F838" s="15"/>
      <c r="G838" s="15"/>
      <c r="H838" s="16"/>
      <c r="I838" s="16"/>
    </row>
    <row r="839">
      <c r="E839" s="13"/>
      <c r="F839" s="15"/>
      <c r="G839" s="15"/>
      <c r="H839" s="16"/>
      <c r="I839" s="16"/>
    </row>
    <row r="840">
      <c r="E840" s="13"/>
      <c r="F840" s="15"/>
      <c r="G840" s="15"/>
      <c r="H840" s="16"/>
      <c r="I840" s="16"/>
    </row>
    <row r="841">
      <c r="E841" s="13"/>
      <c r="F841" s="15"/>
      <c r="G841" s="15"/>
      <c r="H841" s="16"/>
      <c r="I841" s="16"/>
    </row>
    <row r="842">
      <c r="E842" s="13"/>
      <c r="F842" s="15"/>
      <c r="G842" s="15"/>
      <c r="H842" s="16"/>
      <c r="I842" s="16"/>
    </row>
    <row r="843">
      <c r="E843" s="13"/>
      <c r="F843" s="15"/>
      <c r="G843" s="15"/>
      <c r="H843" s="16"/>
      <c r="I843" s="16"/>
    </row>
    <row r="844">
      <c r="E844" s="13"/>
      <c r="F844" s="15"/>
      <c r="G844" s="15"/>
      <c r="H844" s="16"/>
      <c r="I844" s="16"/>
    </row>
    <row r="845">
      <c r="E845" s="13"/>
      <c r="F845" s="15"/>
      <c r="G845" s="15"/>
      <c r="H845" s="16"/>
      <c r="I845" s="16"/>
    </row>
    <row r="846">
      <c r="E846" s="13"/>
      <c r="F846" s="15"/>
      <c r="G846" s="15"/>
      <c r="H846" s="16"/>
      <c r="I846" s="16"/>
    </row>
    <row r="847">
      <c r="E847" s="13"/>
      <c r="F847" s="15"/>
      <c r="G847" s="15"/>
      <c r="H847" s="16"/>
      <c r="I847" s="16"/>
    </row>
    <row r="848">
      <c r="E848" s="13"/>
      <c r="F848" s="15"/>
      <c r="G848" s="15"/>
      <c r="H848" s="16"/>
      <c r="I848" s="16"/>
    </row>
    <row r="849">
      <c r="E849" s="13"/>
      <c r="F849" s="15"/>
      <c r="G849" s="15"/>
      <c r="H849" s="16"/>
      <c r="I849" s="16"/>
    </row>
    <row r="850">
      <c r="E850" s="13"/>
      <c r="F850" s="15"/>
      <c r="G850" s="15"/>
      <c r="H850" s="16"/>
      <c r="I850" s="16"/>
    </row>
    <row r="851">
      <c r="E851" s="13"/>
      <c r="F851" s="15"/>
      <c r="G851" s="15"/>
      <c r="H851" s="16"/>
      <c r="I851" s="16"/>
    </row>
    <row r="852">
      <c r="E852" s="13"/>
      <c r="F852" s="15"/>
      <c r="G852" s="15"/>
      <c r="H852" s="16"/>
      <c r="I852" s="16"/>
    </row>
    <row r="853">
      <c r="E853" s="13"/>
      <c r="F853" s="15"/>
      <c r="G853" s="15"/>
      <c r="H853" s="16"/>
      <c r="I853" s="16"/>
    </row>
    <row r="854">
      <c r="E854" s="13"/>
      <c r="F854" s="15"/>
      <c r="G854" s="15"/>
      <c r="H854" s="16"/>
      <c r="I854" s="16"/>
    </row>
    <row r="855">
      <c r="E855" s="13"/>
      <c r="F855" s="15"/>
      <c r="G855" s="15"/>
      <c r="H855" s="16"/>
      <c r="I855" s="16"/>
    </row>
    <row r="856">
      <c r="E856" s="13"/>
      <c r="F856" s="15"/>
      <c r="G856" s="15"/>
      <c r="H856" s="16"/>
      <c r="I856" s="16"/>
    </row>
    <row r="857">
      <c r="E857" s="13"/>
      <c r="F857" s="15"/>
      <c r="G857" s="15"/>
      <c r="H857" s="16"/>
      <c r="I857" s="16"/>
    </row>
    <row r="858">
      <c r="E858" s="13"/>
      <c r="F858" s="15"/>
      <c r="G858" s="15"/>
      <c r="H858" s="16"/>
      <c r="I858" s="16"/>
    </row>
    <row r="859">
      <c r="E859" s="13"/>
      <c r="F859" s="15"/>
      <c r="G859" s="15"/>
      <c r="H859" s="16"/>
      <c r="I859" s="16"/>
    </row>
    <row r="860">
      <c r="E860" s="13"/>
      <c r="F860" s="15"/>
      <c r="G860" s="15"/>
      <c r="H860" s="16"/>
      <c r="I860" s="16"/>
    </row>
    <row r="861">
      <c r="E861" s="13"/>
      <c r="F861" s="15"/>
      <c r="G861" s="15"/>
      <c r="H861" s="16"/>
      <c r="I861" s="16"/>
    </row>
    <row r="862">
      <c r="E862" s="13"/>
      <c r="F862" s="15"/>
      <c r="G862" s="15"/>
      <c r="H862" s="16"/>
      <c r="I862" s="16"/>
    </row>
    <row r="863">
      <c r="E863" s="13"/>
      <c r="F863" s="15"/>
      <c r="G863" s="15"/>
      <c r="H863" s="16"/>
      <c r="I863" s="16"/>
    </row>
    <row r="864">
      <c r="E864" s="13"/>
      <c r="F864" s="15"/>
      <c r="G864" s="15"/>
      <c r="H864" s="16"/>
      <c r="I864" s="16"/>
    </row>
    <row r="865">
      <c r="E865" s="13"/>
      <c r="F865" s="15"/>
      <c r="G865" s="15"/>
      <c r="H865" s="16"/>
      <c r="I865" s="16"/>
    </row>
    <row r="866">
      <c r="E866" s="13"/>
      <c r="F866" s="15"/>
      <c r="G866" s="15"/>
      <c r="H866" s="16"/>
      <c r="I866" s="16"/>
    </row>
    <row r="867">
      <c r="E867" s="13"/>
      <c r="F867" s="15"/>
      <c r="G867" s="15"/>
      <c r="H867" s="16"/>
      <c r="I867" s="16"/>
    </row>
    <row r="868">
      <c r="E868" s="13"/>
      <c r="F868" s="15"/>
      <c r="G868" s="15"/>
      <c r="H868" s="16"/>
      <c r="I868" s="16"/>
    </row>
    <row r="869">
      <c r="E869" s="13"/>
      <c r="F869" s="15"/>
      <c r="G869" s="15"/>
      <c r="H869" s="16"/>
      <c r="I869" s="16"/>
    </row>
    <row r="870">
      <c r="E870" s="13"/>
      <c r="F870" s="15"/>
      <c r="G870" s="15"/>
      <c r="H870" s="16"/>
      <c r="I870" s="16"/>
    </row>
    <row r="871">
      <c r="E871" s="13"/>
      <c r="F871" s="15"/>
      <c r="G871" s="15"/>
      <c r="H871" s="16"/>
      <c r="I871" s="16"/>
    </row>
    <row r="872">
      <c r="E872" s="13"/>
      <c r="F872" s="15"/>
      <c r="G872" s="15"/>
      <c r="H872" s="16"/>
      <c r="I872" s="16"/>
    </row>
    <row r="873">
      <c r="E873" s="13"/>
      <c r="F873" s="15"/>
      <c r="G873" s="15"/>
      <c r="H873" s="16"/>
      <c r="I873" s="16"/>
    </row>
    <row r="874">
      <c r="E874" s="13"/>
      <c r="F874" s="15"/>
      <c r="G874" s="15"/>
      <c r="H874" s="16"/>
      <c r="I874" s="16"/>
    </row>
    <row r="875">
      <c r="E875" s="13"/>
      <c r="F875" s="15"/>
      <c r="G875" s="15"/>
      <c r="H875" s="16"/>
      <c r="I875" s="16"/>
    </row>
    <row r="876">
      <c r="E876" s="13"/>
      <c r="F876" s="15"/>
      <c r="G876" s="15"/>
      <c r="H876" s="16"/>
      <c r="I876" s="16"/>
    </row>
    <row r="877">
      <c r="E877" s="13"/>
      <c r="F877" s="15"/>
      <c r="G877" s="15"/>
      <c r="H877" s="16"/>
      <c r="I877" s="16"/>
    </row>
    <row r="878">
      <c r="E878" s="13"/>
      <c r="F878" s="15"/>
      <c r="G878" s="15"/>
      <c r="H878" s="16"/>
      <c r="I878" s="16"/>
    </row>
    <row r="879">
      <c r="E879" s="13"/>
      <c r="F879" s="15"/>
      <c r="G879" s="15"/>
      <c r="H879" s="16"/>
      <c r="I879" s="16"/>
    </row>
    <row r="880">
      <c r="E880" s="13"/>
      <c r="F880" s="15"/>
      <c r="G880" s="15"/>
      <c r="H880" s="16"/>
      <c r="I880" s="16"/>
    </row>
    <row r="881">
      <c r="E881" s="13"/>
      <c r="F881" s="15"/>
      <c r="G881" s="15"/>
      <c r="H881" s="16"/>
      <c r="I881" s="16"/>
    </row>
    <row r="882">
      <c r="E882" s="13"/>
      <c r="F882" s="15"/>
      <c r="G882" s="15"/>
      <c r="H882" s="16"/>
      <c r="I882" s="16"/>
    </row>
    <row r="883">
      <c r="E883" s="13"/>
      <c r="F883" s="15"/>
      <c r="G883" s="15"/>
      <c r="H883" s="16"/>
      <c r="I883" s="16"/>
    </row>
    <row r="884">
      <c r="E884" s="13"/>
      <c r="F884" s="15"/>
      <c r="G884" s="15"/>
      <c r="H884" s="16"/>
      <c r="I884" s="16"/>
    </row>
    <row r="885">
      <c r="E885" s="13"/>
      <c r="F885" s="15"/>
      <c r="G885" s="15"/>
      <c r="H885" s="16"/>
      <c r="I885" s="16"/>
    </row>
    <row r="886">
      <c r="E886" s="13"/>
      <c r="F886" s="15"/>
      <c r="G886" s="15"/>
      <c r="H886" s="16"/>
      <c r="I886" s="16"/>
    </row>
    <row r="887">
      <c r="E887" s="13"/>
      <c r="F887" s="15"/>
      <c r="G887" s="15"/>
      <c r="H887" s="16"/>
      <c r="I887" s="16"/>
    </row>
    <row r="888">
      <c r="E888" s="13"/>
      <c r="F888" s="15"/>
      <c r="G888" s="15"/>
      <c r="H888" s="16"/>
      <c r="I888" s="16"/>
    </row>
    <row r="889">
      <c r="E889" s="13"/>
      <c r="F889" s="15"/>
      <c r="G889" s="15"/>
      <c r="H889" s="16"/>
      <c r="I889" s="16"/>
    </row>
    <row r="890">
      <c r="E890" s="13"/>
      <c r="F890" s="15"/>
      <c r="G890" s="15"/>
      <c r="H890" s="16"/>
      <c r="I890" s="16"/>
    </row>
    <row r="891">
      <c r="E891" s="13"/>
      <c r="F891" s="15"/>
      <c r="G891" s="15"/>
      <c r="H891" s="16"/>
      <c r="I891" s="16"/>
    </row>
    <row r="892">
      <c r="E892" s="13"/>
      <c r="F892" s="15"/>
      <c r="G892" s="15"/>
      <c r="H892" s="16"/>
      <c r="I892" s="16"/>
    </row>
    <row r="893">
      <c r="E893" s="13"/>
      <c r="F893" s="15"/>
      <c r="G893" s="15"/>
      <c r="H893" s="16"/>
      <c r="I893" s="16"/>
    </row>
    <row r="894">
      <c r="E894" s="13"/>
      <c r="F894" s="15"/>
      <c r="G894" s="15"/>
      <c r="H894" s="16"/>
      <c r="I894" s="16"/>
    </row>
    <row r="895">
      <c r="E895" s="13"/>
      <c r="F895" s="15"/>
      <c r="G895" s="15"/>
      <c r="H895" s="16"/>
      <c r="I895" s="16"/>
    </row>
    <row r="896">
      <c r="E896" s="13"/>
      <c r="F896" s="15"/>
      <c r="G896" s="15"/>
      <c r="H896" s="16"/>
      <c r="I896" s="16"/>
    </row>
    <row r="897">
      <c r="E897" s="13"/>
      <c r="F897" s="15"/>
      <c r="G897" s="15"/>
      <c r="H897" s="16"/>
      <c r="I897" s="16"/>
    </row>
    <row r="898">
      <c r="E898" s="13"/>
      <c r="F898" s="15"/>
      <c r="G898" s="15"/>
      <c r="H898" s="16"/>
      <c r="I898" s="16"/>
    </row>
    <row r="899">
      <c r="E899" s="13"/>
      <c r="F899" s="15"/>
      <c r="G899" s="15"/>
      <c r="H899" s="16"/>
      <c r="I899" s="16"/>
    </row>
    <row r="900">
      <c r="E900" s="13"/>
      <c r="F900" s="15"/>
      <c r="G900" s="15"/>
      <c r="H900" s="16"/>
      <c r="I900" s="16"/>
    </row>
    <row r="901">
      <c r="E901" s="13"/>
      <c r="F901" s="15"/>
      <c r="G901" s="15"/>
      <c r="H901" s="16"/>
      <c r="I901" s="16"/>
    </row>
    <row r="902">
      <c r="E902" s="13"/>
      <c r="F902" s="15"/>
      <c r="G902" s="15"/>
      <c r="H902" s="16"/>
      <c r="I902" s="16"/>
    </row>
    <row r="903">
      <c r="E903" s="13"/>
      <c r="F903" s="15"/>
      <c r="G903" s="15"/>
      <c r="H903" s="16"/>
      <c r="I903" s="16"/>
    </row>
    <row r="904">
      <c r="E904" s="13"/>
      <c r="F904" s="15"/>
      <c r="G904" s="15"/>
      <c r="H904" s="16"/>
      <c r="I904" s="16"/>
    </row>
    <row r="905">
      <c r="E905" s="13"/>
      <c r="F905" s="15"/>
      <c r="G905" s="15"/>
      <c r="H905" s="16"/>
      <c r="I905" s="16"/>
    </row>
    <row r="906">
      <c r="E906" s="13"/>
      <c r="F906" s="15"/>
      <c r="G906" s="15"/>
      <c r="H906" s="16"/>
      <c r="I906" s="16"/>
    </row>
    <row r="907">
      <c r="E907" s="13"/>
      <c r="F907" s="15"/>
      <c r="G907" s="15"/>
      <c r="H907" s="16"/>
      <c r="I907" s="16"/>
    </row>
    <row r="908">
      <c r="E908" s="13"/>
      <c r="F908" s="15"/>
      <c r="G908" s="15"/>
      <c r="H908" s="16"/>
      <c r="I908" s="16"/>
    </row>
    <row r="909">
      <c r="E909" s="13"/>
      <c r="F909" s="15"/>
      <c r="G909" s="15"/>
      <c r="H909" s="16"/>
      <c r="I909" s="16"/>
    </row>
    <row r="910">
      <c r="E910" s="13"/>
      <c r="F910" s="15"/>
      <c r="G910" s="15"/>
      <c r="H910" s="16"/>
      <c r="I910" s="16"/>
    </row>
    <row r="911">
      <c r="E911" s="13"/>
      <c r="F911" s="15"/>
      <c r="G911" s="15"/>
      <c r="H911" s="16"/>
      <c r="I911" s="16"/>
    </row>
    <row r="912">
      <c r="E912" s="13"/>
      <c r="F912" s="15"/>
      <c r="G912" s="15"/>
      <c r="H912" s="16"/>
      <c r="I912" s="16"/>
    </row>
    <row r="913">
      <c r="E913" s="13"/>
      <c r="F913" s="15"/>
      <c r="G913" s="15"/>
      <c r="H913" s="16"/>
      <c r="I913" s="16"/>
    </row>
    <row r="914">
      <c r="E914" s="13"/>
      <c r="F914" s="15"/>
      <c r="G914" s="15"/>
      <c r="H914" s="16"/>
      <c r="I914" s="16"/>
    </row>
    <row r="915">
      <c r="E915" s="13"/>
      <c r="F915" s="15"/>
      <c r="G915" s="15"/>
      <c r="H915" s="16"/>
      <c r="I915" s="16"/>
    </row>
    <row r="916">
      <c r="E916" s="13"/>
      <c r="F916" s="15"/>
      <c r="G916" s="15"/>
      <c r="H916" s="16"/>
      <c r="I916" s="16"/>
    </row>
    <row r="917">
      <c r="E917" s="13"/>
      <c r="F917" s="15"/>
      <c r="G917" s="15"/>
      <c r="H917" s="16"/>
      <c r="I917" s="16"/>
    </row>
    <row r="918">
      <c r="E918" s="13"/>
      <c r="F918" s="15"/>
      <c r="G918" s="15"/>
      <c r="H918" s="16"/>
      <c r="I918" s="16"/>
    </row>
    <row r="919">
      <c r="E919" s="13"/>
      <c r="F919" s="15"/>
      <c r="G919" s="15"/>
      <c r="H919" s="16"/>
      <c r="I919" s="16"/>
    </row>
    <row r="920">
      <c r="E920" s="13"/>
      <c r="F920" s="15"/>
      <c r="G920" s="15"/>
      <c r="H920" s="16"/>
      <c r="I920" s="16"/>
    </row>
    <row r="921">
      <c r="E921" s="13"/>
      <c r="F921" s="15"/>
      <c r="G921" s="15"/>
      <c r="H921" s="16"/>
      <c r="I921" s="16"/>
    </row>
    <row r="922">
      <c r="E922" s="13"/>
      <c r="F922" s="15"/>
      <c r="G922" s="15"/>
      <c r="H922" s="16"/>
      <c r="I922" s="16"/>
    </row>
    <row r="923">
      <c r="E923" s="13"/>
      <c r="F923" s="15"/>
      <c r="G923" s="15"/>
      <c r="H923" s="16"/>
      <c r="I923" s="16"/>
    </row>
    <row r="924">
      <c r="E924" s="13"/>
      <c r="F924" s="15"/>
      <c r="G924" s="15"/>
      <c r="H924" s="16"/>
      <c r="I924" s="16"/>
    </row>
    <row r="925">
      <c r="E925" s="13"/>
      <c r="F925" s="15"/>
      <c r="G925" s="15"/>
      <c r="H925" s="16"/>
      <c r="I925" s="16"/>
    </row>
    <row r="926">
      <c r="E926" s="13"/>
      <c r="F926" s="15"/>
      <c r="G926" s="15"/>
      <c r="H926" s="16"/>
      <c r="I926" s="16"/>
    </row>
    <row r="927">
      <c r="E927" s="13"/>
      <c r="F927" s="15"/>
      <c r="G927" s="15"/>
      <c r="H927" s="16"/>
      <c r="I927" s="16"/>
    </row>
    <row r="928">
      <c r="E928" s="13"/>
      <c r="F928" s="15"/>
      <c r="G928" s="15"/>
      <c r="H928" s="16"/>
      <c r="I928" s="16"/>
    </row>
    <row r="929">
      <c r="E929" s="13"/>
      <c r="F929" s="15"/>
      <c r="G929" s="15"/>
      <c r="H929" s="16"/>
      <c r="I929" s="16"/>
    </row>
    <row r="930">
      <c r="E930" s="13"/>
      <c r="F930" s="15"/>
      <c r="G930" s="15"/>
      <c r="H930" s="16"/>
      <c r="I930" s="16"/>
    </row>
    <row r="931">
      <c r="E931" s="13"/>
      <c r="F931" s="15"/>
      <c r="G931" s="15"/>
      <c r="H931" s="16"/>
      <c r="I931" s="16"/>
    </row>
    <row r="932">
      <c r="E932" s="13"/>
      <c r="F932" s="15"/>
      <c r="G932" s="15"/>
      <c r="H932" s="16"/>
      <c r="I932" s="16"/>
    </row>
    <row r="933">
      <c r="E933" s="13"/>
      <c r="F933" s="15"/>
      <c r="G933" s="15"/>
      <c r="H933" s="16"/>
      <c r="I933" s="16"/>
    </row>
    <row r="934">
      <c r="E934" s="13"/>
      <c r="F934" s="15"/>
      <c r="G934" s="15"/>
      <c r="H934" s="16"/>
      <c r="I934" s="16"/>
    </row>
    <row r="935">
      <c r="E935" s="13"/>
      <c r="F935" s="15"/>
      <c r="G935" s="15"/>
      <c r="H935" s="16"/>
      <c r="I935" s="16"/>
    </row>
    <row r="936">
      <c r="E936" s="13"/>
      <c r="F936" s="15"/>
      <c r="G936" s="15"/>
      <c r="H936" s="16"/>
      <c r="I936" s="16"/>
    </row>
    <row r="937">
      <c r="E937" s="13"/>
      <c r="F937" s="15"/>
      <c r="G937" s="15"/>
      <c r="H937" s="16"/>
      <c r="I937" s="16"/>
    </row>
    <row r="938">
      <c r="E938" s="13"/>
      <c r="F938" s="15"/>
      <c r="G938" s="15"/>
      <c r="H938" s="16"/>
      <c r="I938" s="16"/>
    </row>
    <row r="939">
      <c r="E939" s="13"/>
      <c r="F939" s="15"/>
      <c r="G939" s="15"/>
      <c r="H939" s="16"/>
      <c r="I939" s="16"/>
    </row>
    <row r="940">
      <c r="E940" s="13"/>
      <c r="F940" s="15"/>
      <c r="G940" s="15"/>
      <c r="H940" s="16"/>
      <c r="I940" s="16"/>
    </row>
    <row r="941">
      <c r="E941" s="13"/>
      <c r="F941" s="15"/>
      <c r="G941" s="15"/>
      <c r="H941" s="16"/>
      <c r="I941" s="16"/>
    </row>
    <row r="942">
      <c r="E942" s="13"/>
      <c r="F942" s="15"/>
      <c r="G942" s="15"/>
      <c r="H942" s="16"/>
      <c r="I942" s="16"/>
    </row>
    <row r="943">
      <c r="E943" s="13"/>
      <c r="F943" s="15"/>
      <c r="G943" s="15"/>
      <c r="H943" s="16"/>
      <c r="I943" s="16"/>
    </row>
    <row r="944">
      <c r="E944" s="13"/>
      <c r="F944" s="15"/>
      <c r="G944" s="15"/>
      <c r="H944" s="16"/>
      <c r="I944" s="16"/>
    </row>
    <row r="945">
      <c r="E945" s="13"/>
      <c r="F945" s="15"/>
      <c r="G945" s="15"/>
      <c r="H945" s="16"/>
      <c r="I945" s="16"/>
    </row>
    <row r="946">
      <c r="E946" s="13"/>
      <c r="F946" s="15"/>
      <c r="G946" s="15"/>
      <c r="H946" s="16"/>
      <c r="I946" s="16"/>
    </row>
    <row r="947">
      <c r="E947" s="13"/>
      <c r="F947" s="15"/>
      <c r="G947" s="15"/>
      <c r="H947" s="16"/>
      <c r="I947" s="16"/>
    </row>
    <row r="948">
      <c r="E948" s="13"/>
      <c r="F948" s="15"/>
      <c r="G948" s="15"/>
      <c r="H948" s="16"/>
      <c r="I948" s="16"/>
    </row>
    <row r="949">
      <c r="E949" s="13"/>
      <c r="F949" s="15"/>
      <c r="G949" s="15"/>
      <c r="H949" s="16"/>
      <c r="I949" s="16"/>
    </row>
    <row r="950">
      <c r="E950" s="13"/>
      <c r="F950" s="15"/>
      <c r="G950" s="15"/>
      <c r="H950" s="16"/>
      <c r="I950" s="16"/>
    </row>
    <row r="951">
      <c r="E951" s="13"/>
      <c r="F951" s="15"/>
      <c r="G951" s="15"/>
      <c r="H951" s="16"/>
      <c r="I951" s="16"/>
    </row>
    <row r="952">
      <c r="E952" s="13"/>
      <c r="F952" s="15"/>
      <c r="G952" s="15"/>
      <c r="H952" s="16"/>
      <c r="I952" s="16"/>
    </row>
    <row r="953">
      <c r="E953" s="13"/>
      <c r="F953" s="15"/>
      <c r="G953" s="15"/>
      <c r="H953" s="16"/>
      <c r="I953" s="16"/>
    </row>
    <row r="954">
      <c r="E954" s="13"/>
      <c r="F954" s="15"/>
      <c r="G954" s="15"/>
      <c r="H954" s="16"/>
      <c r="I954" s="16"/>
    </row>
    <row r="955">
      <c r="E955" s="13"/>
      <c r="F955" s="15"/>
      <c r="G955" s="15"/>
      <c r="H955" s="16"/>
      <c r="I955" s="16"/>
    </row>
    <row r="956">
      <c r="E956" s="13"/>
      <c r="F956" s="15"/>
      <c r="G956" s="15"/>
      <c r="H956" s="16"/>
      <c r="I956" s="16"/>
    </row>
    <row r="957">
      <c r="E957" s="13"/>
      <c r="F957" s="15"/>
      <c r="G957" s="15"/>
      <c r="H957" s="16"/>
      <c r="I957" s="16"/>
    </row>
    <row r="958">
      <c r="E958" s="13"/>
      <c r="F958" s="15"/>
      <c r="G958" s="15"/>
      <c r="H958" s="16"/>
      <c r="I958" s="16"/>
    </row>
    <row r="959">
      <c r="E959" s="13"/>
      <c r="F959" s="15"/>
      <c r="G959" s="15"/>
      <c r="H959" s="16"/>
      <c r="I959" s="16"/>
    </row>
    <row r="960">
      <c r="E960" s="13"/>
      <c r="F960" s="15"/>
      <c r="G960" s="15"/>
      <c r="H960" s="16"/>
      <c r="I960" s="16"/>
    </row>
    <row r="961">
      <c r="E961" s="13"/>
      <c r="F961" s="15"/>
      <c r="G961" s="15"/>
      <c r="H961" s="16"/>
      <c r="I961" s="16"/>
    </row>
    <row r="962">
      <c r="E962" s="13"/>
      <c r="F962" s="15"/>
      <c r="G962" s="15"/>
      <c r="H962" s="16"/>
      <c r="I962" s="16"/>
    </row>
    <row r="963">
      <c r="E963" s="13"/>
      <c r="F963" s="15"/>
      <c r="G963" s="15"/>
      <c r="H963" s="16"/>
      <c r="I963" s="16"/>
    </row>
    <row r="964">
      <c r="E964" s="13"/>
      <c r="F964" s="15"/>
      <c r="G964" s="15"/>
      <c r="H964" s="16"/>
      <c r="I964" s="16"/>
    </row>
    <row r="965">
      <c r="E965" s="13"/>
      <c r="F965" s="15"/>
      <c r="G965" s="15"/>
      <c r="H965" s="16"/>
      <c r="I965" s="16"/>
    </row>
    <row r="966">
      <c r="E966" s="13"/>
      <c r="F966" s="15"/>
      <c r="G966" s="15"/>
      <c r="H966" s="16"/>
      <c r="I966" s="16"/>
    </row>
    <row r="967">
      <c r="E967" s="13"/>
      <c r="F967" s="15"/>
      <c r="G967" s="15"/>
      <c r="H967" s="16"/>
      <c r="I967" s="16"/>
    </row>
    <row r="968">
      <c r="E968" s="13"/>
      <c r="F968" s="15"/>
      <c r="G968" s="15"/>
      <c r="H968" s="16"/>
      <c r="I968" s="16"/>
    </row>
    <row r="969">
      <c r="E969" s="13"/>
      <c r="F969" s="15"/>
      <c r="G969" s="15"/>
      <c r="H969" s="16"/>
      <c r="I969" s="16"/>
    </row>
    <row r="970">
      <c r="E970" s="13"/>
      <c r="F970" s="15"/>
      <c r="G970" s="15"/>
      <c r="H970" s="16"/>
      <c r="I970" s="16"/>
    </row>
    <row r="971">
      <c r="E971" s="13"/>
      <c r="F971" s="15"/>
      <c r="G971" s="15"/>
      <c r="H971" s="16"/>
      <c r="I971" s="16"/>
    </row>
    <row r="972">
      <c r="E972" s="13"/>
      <c r="F972" s="15"/>
      <c r="G972" s="15"/>
      <c r="H972" s="16"/>
      <c r="I972" s="16"/>
    </row>
    <row r="973">
      <c r="E973" s="13"/>
      <c r="F973" s="15"/>
      <c r="G973" s="15"/>
      <c r="H973" s="16"/>
      <c r="I973" s="16"/>
    </row>
    <row r="974">
      <c r="E974" s="13"/>
      <c r="F974" s="15"/>
      <c r="G974" s="15"/>
      <c r="H974" s="16"/>
      <c r="I974" s="16"/>
    </row>
    <row r="975">
      <c r="E975" s="13"/>
      <c r="F975" s="15"/>
      <c r="G975" s="15"/>
      <c r="H975" s="16"/>
      <c r="I975" s="16"/>
    </row>
    <row r="976">
      <c r="E976" s="13"/>
      <c r="F976" s="15"/>
      <c r="G976" s="15"/>
      <c r="H976" s="16"/>
      <c r="I976" s="16"/>
    </row>
    <row r="977">
      <c r="E977" s="13"/>
      <c r="F977" s="15"/>
      <c r="G977" s="15"/>
      <c r="H977" s="16"/>
      <c r="I977" s="16"/>
    </row>
    <row r="978">
      <c r="E978" s="13"/>
      <c r="F978" s="15"/>
      <c r="G978" s="15"/>
      <c r="H978" s="16"/>
      <c r="I978" s="16"/>
    </row>
    <row r="979">
      <c r="E979" s="13"/>
      <c r="F979" s="15"/>
      <c r="G979" s="15"/>
      <c r="H979" s="16"/>
      <c r="I979" s="16"/>
    </row>
    <row r="980">
      <c r="E980" s="13"/>
      <c r="F980" s="15"/>
      <c r="G980" s="15"/>
      <c r="H980" s="16"/>
      <c r="I980" s="16"/>
    </row>
    <row r="981">
      <c r="E981" s="13"/>
      <c r="F981" s="15"/>
      <c r="G981" s="15"/>
      <c r="H981" s="16"/>
      <c r="I981" s="16"/>
    </row>
    <row r="982">
      <c r="E982" s="13"/>
      <c r="F982" s="15"/>
      <c r="G982" s="15"/>
      <c r="H982" s="16"/>
      <c r="I982" s="16"/>
    </row>
    <row r="983">
      <c r="E983" s="13"/>
      <c r="F983" s="15"/>
      <c r="G983" s="15"/>
      <c r="H983" s="16"/>
      <c r="I983" s="16"/>
    </row>
    <row r="984">
      <c r="E984" s="13"/>
      <c r="F984" s="15"/>
      <c r="G984" s="15"/>
      <c r="H984" s="16"/>
      <c r="I984" s="16"/>
    </row>
    <row r="985">
      <c r="E985" s="13"/>
      <c r="F985" s="15"/>
      <c r="G985" s="15"/>
      <c r="H985" s="16"/>
      <c r="I985" s="16"/>
    </row>
    <row r="986">
      <c r="E986" s="13"/>
      <c r="F986" s="15"/>
      <c r="G986" s="15"/>
      <c r="H986" s="16"/>
      <c r="I986" s="16"/>
    </row>
    <row r="987">
      <c r="E987" s="13"/>
      <c r="F987" s="15"/>
      <c r="G987" s="15"/>
      <c r="H987" s="16"/>
      <c r="I987" s="16"/>
    </row>
    <row r="988">
      <c r="E988" s="13"/>
      <c r="F988" s="15"/>
      <c r="G988" s="15"/>
      <c r="H988" s="16"/>
      <c r="I988" s="16"/>
    </row>
    <row r="989">
      <c r="E989" s="13"/>
      <c r="F989" s="15"/>
      <c r="G989" s="15"/>
      <c r="H989" s="16"/>
      <c r="I989" s="16"/>
    </row>
    <row r="990">
      <c r="E990" s="13"/>
      <c r="F990" s="15"/>
      <c r="G990" s="15"/>
      <c r="H990" s="16"/>
      <c r="I990" s="16"/>
    </row>
    <row r="991">
      <c r="E991" s="13"/>
      <c r="F991" s="15"/>
      <c r="G991" s="15"/>
      <c r="H991" s="16"/>
      <c r="I991" s="16"/>
    </row>
    <row r="992">
      <c r="E992" s="13"/>
      <c r="F992" s="15"/>
      <c r="G992" s="15"/>
      <c r="H992" s="16"/>
      <c r="I992" s="16"/>
    </row>
    <row r="993">
      <c r="E993" s="13"/>
      <c r="F993" s="15"/>
      <c r="G993" s="15"/>
      <c r="H993" s="16"/>
      <c r="I993" s="16"/>
    </row>
    <row r="994">
      <c r="E994" s="13"/>
      <c r="F994" s="15"/>
      <c r="G994" s="15"/>
      <c r="H994" s="16"/>
      <c r="I994" s="16"/>
    </row>
    <row r="995">
      <c r="E995" s="13"/>
      <c r="F995" s="15"/>
      <c r="G995" s="15"/>
      <c r="H995" s="16"/>
      <c r="I995" s="16"/>
    </row>
    <row r="996">
      <c r="E996" s="13"/>
      <c r="F996" s="15"/>
      <c r="G996" s="15"/>
      <c r="H996" s="16"/>
      <c r="I996" s="16"/>
    </row>
    <row r="997">
      <c r="E997" s="13"/>
      <c r="F997" s="15"/>
      <c r="G997" s="15"/>
      <c r="H997" s="16"/>
      <c r="I997" s="16"/>
    </row>
    <row r="998">
      <c r="E998" s="13"/>
      <c r="F998" s="15"/>
      <c r="G998" s="15"/>
      <c r="H998" s="16"/>
      <c r="I998" s="16"/>
    </row>
    <row r="999">
      <c r="E999" s="13"/>
      <c r="F999" s="15"/>
      <c r="G999" s="15"/>
      <c r="H999" s="16"/>
      <c r="I999" s="16"/>
    </row>
    <row r="1000">
      <c r="E1000" s="13"/>
      <c r="F1000" s="15"/>
      <c r="G1000" s="15"/>
      <c r="H1000" s="16"/>
      <c r="I1000" s="16"/>
    </row>
    <row r="1001">
      <c r="E1001" s="13"/>
      <c r="F1001" s="15"/>
      <c r="G1001" s="15"/>
      <c r="H1001" s="16"/>
      <c r="I1001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1" t="s">
        <v>141</v>
      </c>
      <c r="B2" s="1">
        <v>88.0</v>
      </c>
      <c r="C2" s="1">
        <v>876.0</v>
      </c>
      <c r="D2" s="1">
        <v>25.0</v>
      </c>
      <c r="E2" s="8">
        <v>0.0</v>
      </c>
      <c r="F2" s="1">
        <v>14.0</v>
      </c>
      <c r="G2" s="1">
        <v>17.0</v>
      </c>
      <c r="H2" s="3">
        <v>5.48768181818181</v>
      </c>
      <c r="I2" s="3">
        <v>4.2985867750223</v>
      </c>
    </row>
    <row r="3">
      <c r="A3" s="1" t="s">
        <v>50</v>
      </c>
      <c r="B3" s="1">
        <v>106.0</v>
      </c>
      <c r="C3" s="1">
        <v>908.0</v>
      </c>
      <c r="D3" s="1">
        <v>32.0</v>
      </c>
      <c r="E3" s="8">
        <v>0.00198113207547169</v>
      </c>
      <c r="F3" s="1">
        <v>21.0</v>
      </c>
      <c r="G3" s="1">
        <v>27.0</v>
      </c>
      <c r="H3" s="3">
        <v>9.16754716981132</v>
      </c>
      <c r="I3" s="3">
        <v>6.66976305925802</v>
      </c>
    </row>
    <row r="4">
      <c r="A4" s="1" t="s">
        <v>157</v>
      </c>
      <c r="B4" s="1">
        <v>125.0</v>
      </c>
      <c r="C4" s="1">
        <v>1074.0</v>
      </c>
      <c r="D4" s="1">
        <v>26.0</v>
      </c>
      <c r="E4" s="8">
        <v>0.00704</v>
      </c>
      <c r="F4" s="1">
        <v>20.0</v>
      </c>
      <c r="G4" s="1">
        <v>25.0</v>
      </c>
      <c r="H4" s="3">
        <v>8.251984</v>
      </c>
      <c r="I4" s="3">
        <v>6.29089819212996</v>
      </c>
    </row>
    <row r="5">
      <c r="A5" s="1" t="s">
        <v>112</v>
      </c>
      <c r="B5" s="1">
        <v>124.0</v>
      </c>
      <c r="C5" s="1">
        <v>890.0</v>
      </c>
      <c r="D5" s="1">
        <v>10.0</v>
      </c>
      <c r="E5" s="8">
        <v>0.00919354838709677</v>
      </c>
      <c r="F5" s="1">
        <v>7.0</v>
      </c>
      <c r="G5" s="1">
        <v>9.0</v>
      </c>
      <c r="H5" s="3">
        <v>2.0816129032258</v>
      </c>
      <c r="I5" s="3">
        <v>2.29361328795248</v>
      </c>
    </row>
    <row r="6">
      <c r="A6" s="1" t="s">
        <v>138</v>
      </c>
      <c r="B6" s="1">
        <v>64.0</v>
      </c>
      <c r="C6" s="1">
        <v>1189.0</v>
      </c>
      <c r="D6" s="1">
        <v>49.0</v>
      </c>
      <c r="E6" s="8">
        <v>0.010125</v>
      </c>
      <c r="F6" s="1">
        <v>40.0</v>
      </c>
      <c r="G6" s="1">
        <v>49.0</v>
      </c>
      <c r="H6" s="3">
        <v>18.27284375</v>
      </c>
      <c r="I6" s="3">
        <v>12.2440352840918</v>
      </c>
    </row>
    <row r="7">
      <c r="A7" s="1" t="s">
        <v>26</v>
      </c>
      <c r="B7" s="1">
        <v>98.0</v>
      </c>
      <c r="C7" s="1">
        <v>888.0</v>
      </c>
      <c r="D7" s="1">
        <v>13.0</v>
      </c>
      <c r="E7" s="8">
        <v>0.0102244897959183</v>
      </c>
      <c r="F7" s="1">
        <v>9.0</v>
      </c>
      <c r="G7" s="1">
        <v>13.0</v>
      </c>
      <c r="H7" s="3">
        <v>3.18657142857142</v>
      </c>
      <c r="I7" s="3">
        <v>3.08666772307176</v>
      </c>
    </row>
    <row r="8">
      <c r="A8" s="1" t="s">
        <v>76</v>
      </c>
      <c r="B8" s="1">
        <v>137.0</v>
      </c>
      <c r="C8" s="1">
        <v>1344.0</v>
      </c>
      <c r="D8" s="1">
        <v>51.0</v>
      </c>
      <c r="E8" s="8">
        <v>0.0151240875912408</v>
      </c>
      <c r="F8" s="1">
        <v>43.0</v>
      </c>
      <c r="G8" s="1">
        <v>53.0</v>
      </c>
      <c r="H8" s="3">
        <v>19.0957518248175</v>
      </c>
      <c r="I8" s="3">
        <v>13.3780782466483</v>
      </c>
    </row>
    <row r="9">
      <c r="A9" s="1" t="s">
        <v>93</v>
      </c>
      <c r="B9" s="1">
        <v>59.0</v>
      </c>
      <c r="C9" s="1">
        <v>844.0</v>
      </c>
      <c r="D9" s="1">
        <v>16.0</v>
      </c>
      <c r="E9" s="8">
        <v>0.0153898305084745</v>
      </c>
      <c r="F9" s="1">
        <v>12.0</v>
      </c>
      <c r="G9" s="1">
        <v>17.0</v>
      </c>
      <c r="H9" s="3">
        <v>4.14623728813559</v>
      </c>
      <c r="I9" s="3">
        <v>3.95954599494275</v>
      </c>
    </row>
    <row r="10">
      <c r="A10" s="1" t="s">
        <v>65</v>
      </c>
      <c r="B10" s="1">
        <v>141.0</v>
      </c>
      <c r="C10" s="1">
        <v>1140.0</v>
      </c>
      <c r="D10" s="1">
        <v>38.0</v>
      </c>
      <c r="E10" s="8">
        <v>0.0186808510638297</v>
      </c>
      <c r="F10" s="1">
        <v>32.0</v>
      </c>
      <c r="G10" s="1">
        <v>40.0</v>
      </c>
      <c r="H10" s="3">
        <v>13.9444113475177</v>
      </c>
      <c r="I10" s="3">
        <v>9.79046514594968</v>
      </c>
    </row>
    <row r="11">
      <c r="A11" s="1" t="s">
        <v>160</v>
      </c>
      <c r="B11" s="1">
        <v>121.0</v>
      </c>
      <c r="C11" s="1">
        <v>991.0</v>
      </c>
      <c r="D11" s="1">
        <v>14.0</v>
      </c>
      <c r="E11" s="8">
        <v>0.024595041322314</v>
      </c>
      <c r="F11" s="1">
        <v>12.0</v>
      </c>
      <c r="G11" s="1">
        <v>17.0</v>
      </c>
      <c r="H11" s="3">
        <v>4.26114049586776</v>
      </c>
      <c r="I11" s="3">
        <v>3.82245916540255</v>
      </c>
    </row>
    <row r="12">
      <c r="A12" s="1" t="s">
        <v>130</v>
      </c>
      <c r="B12" s="1">
        <v>109.0</v>
      </c>
      <c r="C12" s="1">
        <v>1080.0</v>
      </c>
      <c r="D12" s="1">
        <v>28.0</v>
      </c>
      <c r="E12" s="8">
        <v>0.0268807339449541</v>
      </c>
      <c r="F12" s="1">
        <v>25.0</v>
      </c>
      <c r="G12" s="1">
        <v>31.0</v>
      </c>
      <c r="H12" s="3">
        <v>10.7466055045871</v>
      </c>
      <c r="I12" s="3">
        <v>7.79548283928483</v>
      </c>
    </row>
    <row r="13">
      <c r="A13" s="1" t="s">
        <v>85</v>
      </c>
      <c r="B13" s="1">
        <v>109.0</v>
      </c>
      <c r="C13" s="1">
        <v>1642.0</v>
      </c>
      <c r="D13" s="1">
        <v>32.0</v>
      </c>
      <c r="E13" s="8">
        <v>0.0269541284403669</v>
      </c>
      <c r="F13" s="1">
        <v>29.0</v>
      </c>
      <c r="G13" s="1">
        <v>36.0</v>
      </c>
      <c r="H13" s="3">
        <v>12.4242935779816</v>
      </c>
      <c r="I13" s="3">
        <v>9.20021602788127</v>
      </c>
    </row>
    <row r="14">
      <c r="A14" s="1" t="s">
        <v>32</v>
      </c>
      <c r="B14" s="1">
        <v>114.0</v>
      </c>
      <c r="C14" s="1">
        <v>1024.0</v>
      </c>
      <c r="D14" s="1">
        <v>13.0</v>
      </c>
      <c r="E14" s="8">
        <v>0.0279298245614035</v>
      </c>
      <c r="F14" s="1">
        <v>11.0</v>
      </c>
      <c r="G14" s="1">
        <v>15.0</v>
      </c>
      <c r="H14" s="3">
        <v>3.83359649122807</v>
      </c>
      <c r="I14" s="3">
        <v>3.6179490718228</v>
      </c>
    </row>
    <row r="15">
      <c r="A15" s="1" t="s">
        <v>16</v>
      </c>
      <c r="B15" s="1">
        <v>117.0</v>
      </c>
      <c r="C15" s="1">
        <v>766.0</v>
      </c>
      <c r="D15" s="1">
        <v>15.0</v>
      </c>
      <c r="E15" s="8">
        <v>0.0283760683760683</v>
      </c>
      <c r="F15" s="1">
        <v>13.0</v>
      </c>
      <c r="G15" s="1">
        <v>17.0</v>
      </c>
      <c r="H15" s="3">
        <v>4.38345299145299</v>
      </c>
      <c r="I15" s="3">
        <v>4.28127383890444</v>
      </c>
    </row>
    <row r="16">
      <c r="A16" s="1" t="s">
        <v>14</v>
      </c>
      <c r="B16" s="1">
        <v>124.0</v>
      </c>
      <c r="C16" s="1">
        <v>1096.0</v>
      </c>
      <c r="D16" s="1">
        <v>12.0</v>
      </c>
      <c r="E16" s="8">
        <v>0.0291290322580645</v>
      </c>
      <c r="F16" s="1">
        <v>10.0</v>
      </c>
      <c r="G16" s="1">
        <v>14.0</v>
      </c>
      <c r="H16" s="3">
        <v>3.44935483870967</v>
      </c>
      <c r="I16" s="3">
        <v>3.41219108064945</v>
      </c>
    </row>
    <row r="17">
      <c r="A17" s="1" t="s">
        <v>42</v>
      </c>
      <c r="B17" s="1">
        <v>134.0</v>
      </c>
      <c r="C17" s="1">
        <v>983.0</v>
      </c>
      <c r="D17" s="1">
        <v>19.0</v>
      </c>
      <c r="E17" s="8">
        <v>0.0310447761194029</v>
      </c>
      <c r="F17" s="1">
        <v>17.0</v>
      </c>
      <c r="G17" s="1">
        <v>22.0</v>
      </c>
      <c r="H17" s="3">
        <v>6.75810447761194</v>
      </c>
      <c r="I17" s="3">
        <v>5.41249052843769</v>
      </c>
    </row>
    <row r="18">
      <c r="A18" s="1" t="s">
        <v>101</v>
      </c>
      <c r="B18" s="1">
        <v>136.0</v>
      </c>
      <c r="C18" s="1">
        <v>1151.0</v>
      </c>
      <c r="D18" s="1">
        <v>15.0</v>
      </c>
      <c r="E18" s="8">
        <v>0.0315147058823529</v>
      </c>
      <c r="F18" s="1">
        <v>13.0</v>
      </c>
      <c r="G18" s="1">
        <v>18.0</v>
      </c>
      <c r="H18" s="3">
        <v>4.77557352941176</v>
      </c>
      <c r="I18" s="3">
        <v>4.291739719289</v>
      </c>
    </row>
    <row r="19">
      <c r="A19" s="1" t="s">
        <v>107</v>
      </c>
      <c r="B19" s="1">
        <v>108.0</v>
      </c>
      <c r="C19" s="1">
        <v>1378.0</v>
      </c>
      <c r="D19" s="1">
        <v>37.0</v>
      </c>
      <c r="E19" s="8">
        <v>0.0359074074074074</v>
      </c>
      <c r="F19" s="1">
        <v>35.0</v>
      </c>
      <c r="G19" s="1">
        <v>43.0</v>
      </c>
      <c r="H19" s="3">
        <v>16.827537037037</v>
      </c>
      <c r="I19" s="3">
        <v>10.7189766409909</v>
      </c>
    </row>
    <row r="20">
      <c r="A20" s="1" t="s">
        <v>54</v>
      </c>
      <c r="B20" s="1">
        <v>127.0</v>
      </c>
      <c r="C20" s="1">
        <v>1219.0</v>
      </c>
      <c r="D20" s="1">
        <v>37.0</v>
      </c>
      <c r="E20" s="8">
        <v>0.0359842519685039</v>
      </c>
      <c r="F20" s="1">
        <v>35.0</v>
      </c>
      <c r="G20" s="1">
        <v>43.0</v>
      </c>
      <c r="H20" s="3">
        <v>16.4482992125984</v>
      </c>
      <c r="I20" s="3">
        <v>10.3160079460015</v>
      </c>
    </row>
    <row r="21">
      <c r="A21" s="1" t="s">
        <v>84</v>
      </c>
      <c r="B21" s="1">
        <v>124.0</v>
      </c>
      <c r="C21" s="1">
        <v>1324.0</v>
      </c>
      <c r="D21" s="1">
        <v>28.0</v>
      </c>
      <c r="E21" s="8">
        <v>0.0405</v>
      </c>
      <c r="F21" s="1">
        <v>27.0</v>
      </c>
      <c r="G21" s="1">
        <v>33.0</v>
      </c>
      <c r="H21" s="3">
        <v>11.3963225806451</v>
      </c>
      <c r="I21" s="3">
        <v>8.4073734550138</v>
      </c>
    </row>
    <row r="22">
      <c r="A22" s="1" t="s">
        <v>38</v>
      </c>
      <c r="B22" s="1">
        <v>91.0</v>
      </c>
      <c r="C22" s="1">
        <v>869.0</v>
      </c>
      <c r="D22" s="1">
        <v>11.0</v>
      </c>
      <c r="E22" s="8">
        <v>0.0438461538461538</v>
      </c>
      <c r="F22" s="1">
        <v>10.0</v>
      </c>
      <c r="G22" s="1">
        <v>14.0</v>
      </c>
      <c r="H22" s="3">
        <v>3.42248351648351</v>
      </c>
      <c r="I22" s="3">
        <v>3.39101462777326</v>
      </c>
    </row>
    <row r="23">
      <c r="A23" s="1" t="s">
        <v>137</v>
      </c>
      <c r="B23" s="1">
        <v>126.0</v>
      </c>
      <c r="C23" s="1">
        <v>1040.0</v>
      </c>
      <c r="D23" s="1">
        <v>15.0</v>
      </c>
      <c r="E23" s="8">
        <v>0.0452539682539682</v>
      </c>
      <c r="F23" s="1">
        <v>14.0</v>
      </c>
      <c r="G23" s="1">
        <v>18.0</v>
      </c>
      <c r="H23" s="3">
        <v>6.15749206349206</v>
      </c>
      <c r="I23" s="3">
        <v>4.50995259846633</v>
      </c>
    </row>
    <row r="24">
      <c r="A24" s="1" t="s">
        <v>72</v>
      </c>
      <c r="B24" s="1">
        <v>104.0</v>
      </c>
      <c r="C24" s="1">
        <v>1419.0</v>
      </c>
      <c r="D24" s="1">
        <v>34.0</v>
      </c>
      <c r="E24" s="8">
        <v>0.053076923076923</v>
      </c>
      <c r="F24" s="1">
        <v>34.0</v>
      </c>
      <c r="G24" s="1">
        <v>42.0</v>
      </c>
      <c r="H24" s="3">
        <v>14.7295384615384</v>
      </c>
      <c r="I24" s="3">
        <v>10.4268756188801</v>
      </c>
    </row>
    <row r="25">
      <c r="A25" s="1" t="s">
        <v>22</v>
      </c>
      <c r="B25" s="1">
        <v>140.0</v>
      </c>
      <c r="C25" s="1">
        <v>1033.0</v>
      </c>
      <c r="D25" s="1">
        <v>21.0</v>
      </c>
      <c r="E25" s="8">
        <v>0.0539142857142857</v>
      </c>
      <c r="F25" s="1">
        <v>21.0</v>
      </c>
      <c r="G25" s="1">
        <v>26.0</v>
      </c>
      <c r="H25" s="3">
        <v>9.36488571428571</v>
      </c>
      <c r="I25" s="3">
        <v>6.4145772481632</v>
      </c>
    </row>
    <row r="26">
      <c r="A26" s="1" t="s">
        <v>106</v>
      </c>
      <c r="B26" s="1">
        <v>96.0</v>
      </c>
      <c r="C26" s="1">
        <v>1000.0</v>
      </c>
      <c r="D26" s="1">
        <v>51.0</v>
      </c>
      <c r="E26" s="8">
        <v>0.0552916666666666</v>
      </c>
      <c r="F26" s="1">
        <v>51.0</v>
      </c>
      <c r="G26" s="1">
        <v>61.0</v>
      </c>
      <c r="H26" s="3">
        <v>25.1334166666666</v>
      </c>
      <c r="I26" s="3">
        <v>15.2782345181979</v>
      </c>
    </row>
    <row r="27">
      <c r="A27" s="1" t="s">
        <v>96</v>
      </c>
      <c r="B27" s="1">
        <v>121.0</v>
      </c>
      <c r="C27" s="1">
        <v>972.0</v>
      </c>
      <c r="D27" s="1">
        <v>16.0</v>
      </c>
      <c r="E27" s="8">
        <v>0.0569752066115702</v>
      </c>
      <c r="F27" s="1">
        <v>16.0</v>
      </c>
      <c r="G27" s="1">
        <v>21.0</v>
      </c>
      <c r="H27" s="3">
        <v>6.23176859504132</v>
      </c>
      <c r="I27" s="3">
        <v>5.21246779447463</v>
      </c>
    </row>
    <row r="28">
      <c r="A28" s="1" t="s">
        <v>109</v>
      </c>
      <c r="B28" s="1">
        <v>124.0</v>
      </c>
      <c r="C28" s="1">
        <v>1258.0</v>
      </c>
      <c r="D28" s="1">
        <v>20.0</v>
      </c>
      <c r="E28" s="8">
        <v>0.0615483870967741</v>
      </c>
      <c r="F28" s="1">
        <v>20.0</v>
      </c>
      <c r="G28" s="1">
        <v>26.0</v>
      </c>
      <c r="H28" s="3">
        <v>8.72117741935483</v>
      </c>
      <c r="I28" s="3">
        <v>6.30320578196624</v>
      </c>
    </row>
    <row r="29">
      <c r="A29" s="1" t="s">
        <v>66</v>
      </c>
      <c r="B29" s="1">
        <v>136.0</v>
      </c>
      <c r="C29" s="1">
        <v>1539.0</v>
      </c>
      <c r="D29" s="1">
        <v>36.0</v>
      </c>
      <c r="E29" s="8">
        <v>0.0641176470588235</v>
      </c>
      <c r="F29" s="1">
        <v>37.0</v>
      </c>
      <c r="G29" s="1">
        <v>46.0</v>
      </c>
      <c r="H29" s="3">
        <v>15.198294117647</v>
      </c>
      <c r="I29" s="3">
        <v>11.802721646571</v>
      </c>
    </row>
    <row r="30">
      <c r="A30" s="1" t="s">
        <v>62</v>
      </c>
      <c r="B30" s="1">
        <v>118.0</v>
      </c>
      <c r="C30" s="1">
        <v>1493.0</v>
      </c>
      <c r="D30" s="1">
        <v>28.0</v>
      </c>
      <c r="E30" s="8">
        <v>0.0642203389830508</v>
      </c>
      <c r="F30" s="1">
        <v>29.0</v>
      </c>
      <c r="G30" s="1">
        <v>35.0</v>
      </c>
      <c r="H30" s="3">
        <v>13.2774745762711</v>
      </c>
      <c r="I30" s="3">
        <v>8.90195604453567</v>
      </c>
    </row>
    <row r="31">
      <c r="A31" s="1" t="s">
        <v>20</v>
      </c>
      <c r="B31" s="1">
        <v>114.0</v>
      </c>
      <c r="C31" s="1">
        <v>1004.0</v>
      </c>
      <c r="D31" s="1">
        <v>17.0</v>
      </c>
      <c r="E31" s="8">
        <v>0.0644210526315789</v>
      </c>
      <c r="F31" s="1">
        <v>18.0</v>
      </c>
      <c r="G31" s="1">
        <v>22.0</v>
      </c>
      <c r="H31" s="3">
        <v>6.97817543859649</v>
      </c>
      <c r="I31" s="3">
        <v>5.43782536876195</v>
      </c>
    </row>
    <row r="32">
      <c r="A32" s="1" t="s">
        <v>40</v>
      </c>
      <c r="B32" s="1">
        <v>62.0</v>
      </c>
      <c r="C32" s="1">
        <v>869.0</v>
      </c>
      <c r="D32" s="1">
        <v>15.0</v>
      </c>
      <c r="E32" s="8">
        <v>0.0645483870967742</v>
      </c>
      <c r="F32" s="1">
        <v>15.0</v>
      </c>
      <c r="G32" s="1">
        <v>20.0</v>
      </c>
      <c r="H32" s="3">
        <v>5.84193548387096</v>
      </c>
      <c r="I32" s="3">
        <v>4.95899796027697</v>
      </c>
    </row>
    <row r="33">
      <c r="A33" s="1" t="s">
        <v>24</v>
      </c>
      <c r="B33" s="1">
        <v>114.0</v>
      </c>
      <c r="C33" s="1">
        <v>1316.0</v>
      </c>
      <c r="D33" s="1">
        <v>22.0</v>
      </c>
      <c r="E33" s="8">
        <v>0.0648947368421052</v>
      </c>
      <c r="F33" s="1">
        <v>22.0</v>
      </c>
      <c r="G33" s="1">
        <v>29.0</v>
      </c>
      <c r="H33" s="3">
        <v>9.25015789473684</v>
      </c>
      <c r="I33" s="3">
        <v>7.33033351551984</v>
      </c>
    </row>
    <row r="34">
      <c r="A34" s="1" t="s">
        <v>52</v>
      </c>
      <c r="B34" s="1">
        <v>98.0</v>
      </c>
      <c r="C34" s="1">
        <v>1080.0</v>
      </c>
      <c r="D34" s="1">
        <v>12.0</v>
      </c>
      <c r="E34" s="8">
        <v>0.0660612244897959</v>
      </c>
      <c r="F34" s="1">
        <v>12.0</v>
      </c>
      <c r="G34" s="1">
        <v>17.0</v>
      </c>
      <c r="H34" s="3">
        <v>4.65273469387755</v>
      </c>
      <c r="I34" s="3">
        <v>4.12075615596938</v>
      </c>
    </row>
    <row r="35">
      <c r="A35" s="1" t="s">
        <v>74</v>
      </c>
      <c r="B35" s="1">
        <v>104.0</v>
      </c>
      <c r="C35" s="1">
        <v>793.0</v>
      </c>
      <c r="D35" s="1">
        <v>8.0</v>
      </c>
      <c r="E35" s="8">
        <v>0.0661730769230769</v>
      </c>
      <c r="F35" s="1">
        <v>8.0</v>
      </c>
      <c r="G35" s="1">
        <v>11.0</v>
      </c>
      <c r="H35" s="3">
        <v>2.47676923076923</v>
      </c>
      <c r="I35" s="3">
        <v>2.77978948162089</v>
      </c>
    </row>
    <row r="36">
      <c r="A36" s="1" t="s">
        <v>46</v>
      </c>
      <c r="B36" s="1">
        <v>143.0</v>
      </c>
      <c r="C36" s="1">
        <v>917.0</v>
      </c>
      <c r="D36" s="1">
        <v>21.0</v>
      </c>
      <c r="E36" s="8">
        <v>0.0697902097902097</v>
      </c>
      <c r="F36" s="1">
        <v>22.0</v>
      </c>
      <c r="G36" s="1">
        <v>28.0</v>
      </c>
      <c r="H36" s="3">
        <v>9.35472727272727</v>
      </c>
      <c r="I36" s="3">
        <v>6.84681749579501</v>
      </c>
    </row>
    <row r="37">
      <c r="A37" s="1" t="s">
        <v>133</v>
      </c>
      <c r="B37" s="1">
        <v>76.0</v>
      </c>
      <c r="C37" s="1">
        <v>1463.0</v>
      </c>
      <c r="D37" s="1">
        <v>30.0</v>
      </c>
      <c r="E37" s="8">
        <v>0.0718157894736842</v>
      </c>
      <c r="F37" s="1">
        <v>32.0</v>
      </c>
      <c r="G37" s="1">
        <v>40.0</v>
      </c>
      <c r="H37" s="3">
        <v>14.8311315789473</v>
      </c>
      <c r="I37" s="3">
        <v>9.42612183933856</v>
      </c>
    </row>
    <row r="38">
      <c r="A38" s="1" t="s">
        <v>60</v>
      </c>
      <c r="B38" s="1">
        <v>86.0</v>
      </c>
      <c r="C38" s="1">
        <v>1322.0</v>
      </c>
      <c r="D38" s="1">
        <v>35.0</v>
      </c>
      <c r="E38" s="8">
        <v>0.0746046511627906</v>
      </c>
      <c r="F38" s="1">
        <v>37.0</v>
      </c>
      <c r="G38" s="1">
        <v>46.0</v>
      </c>
      <c r="H38" s="3">
        <v>17.3321627906976</v>
      </c>
      <c r="I38" s="3">
        <v>11.0898557447162</v>
      </c>
    </row>
    <row r="39">
      <c r="A39" s="1" t="s">
        <v>172</v>
      </c>
      <c r="B39" s="1">
        <v>95.0</v>
      </c>
      <c r="C39" s="1">
        <v>1032.0</v>
      </c>
      <c r="D39" s="1">
        <v>34.0</v>
      </c>
      <c r="E39" s="8">
        <v>0.0792631578947368</v>
      </c>
      <c r="F39" s="1">
        <v>36.0</v>
      </c>
      <c r="G39" s="1">
        <v>43.0</v>
      </c>
      <c r="H39" s="3">
        <v>18.3032421052631</v>
      </c>
      <c r="I39" s="3">
        <v>10.6580793181469</v>
      </c>
    </row>
    <row r="40">
      <c r="A40" s="1" t="s">
        <v>82</v>
      </c>
      <c r="B40" s="1">
        <v>97.0</v>
      </c>
      <c r="C40" s="1">
        <v>1243.0</v>
      </c>
      <c r="D40" s="1">
        <v>13.0</v>
      </c>
      <c r="E40" s="8">
        <v>0.0827628865979381</v>
      </c>
      <c r="F40" s="1">
        <v>14.0</v>
      </c>
      <c r="G40" s="1">
        <v>19.0</v>
      </c>
      <c r="H40" s="3">
        <v>5.41795876288659</v>
      </c>
      <c r="I40" s="3">
        <v>4.67216931870297</v>
      </c>
    </row>
    <row r="41">
      <c r="A41" s="1" t="s">
        <v>68</v>
      </c>
      <c r="B41" s="1">
        <v>103.0</v>
      </c>
      <c r="C41" s="1">
        <v>1136.0</v>
      </c>
      <c r="D41" s="1">
        <v>22.0</v>
      </c>
      <c r="E41" s="8">
        <v>0.0865436893203883</v>
      </c>
      <c r="F41" s="1">
        <v>24.0</v>
      </c>
      <c r="G41" s="1">
        <v>30.0</v>
      </c>
      <c r="H41" s="3">
        <v>10.0517669902912</v>
      </c>
      <c r="I41" s="3">
        <v>7.64840739714463</v>
      </c>
    </row>
    <row r="42">
      <c r="A42" s="1" t="s">
        <v>18</v>
      </c>
      <c r="B42" s="1">
        <v>97.0</v>
      </c>
      <c r="C42" s="1">
        <v>839.0</v>
      </c>
      <c r="D42" s="1">
        <v>9.0</v>
      </c>
      <c r="E42" s="8">
        <v>0.0877113402061855</v>
      </c>
      <c r="F42" s="1">
        <v>10.0</v>
      </c>
      <c r="G42" s="1">
        <v>14.0</v>
      </c>
      <c r="H42" s="3">
        <v>3.45686597938144</v>
      </c>
      <c r="I42" s="3">
        <v>3.22541698296472</v>
      </c>
    </row>
    <row r="43">
      <c r="A43" s="1" t="s">
        <v>30</v>
      </c>
      <c r="B43" s="1">
        <v>100.0</v>
      </c>
      <c r="C43" s="1">
        <v>1547.0</v>
      </c>
      <c r="D43" s="1">
        <v>30.0</v>
      </c>
      <c r="E43" s="8">
        <v>0.08812</v>
      </c>
      <c r="F43" s="1">
        <v>33.0</v>
      </c>
      <c r="G43" s="1">
        <v>40.0</v>
      </c>
      <c r="H43" s="3">
        <v>15.41602</v>
      </c>
      <c r="I43" s="3">
        <v>10.034025481311</v>
      </c>
    </row>
    <row r="44">
      <c r="A44" s="1" t="s">
        <v>81</v>
      </c>
      <c r="B44" s="1">
        <v>119.0</v>
      </c>
      <c r="C44" s="1">
        <v>1313.0</v>
      </c>
      <c r="D44" s="1">
        <v>31.0</v>
      </c>
      <c r="E44" s="8">
        <v>0.0898655462184874</v>
      </c>
      <c r="F44" s="1">
        <v>35.0</v>
      </c>
      <c r="G44" s="1">
        <v>43.0</v>
      </c>
      <c r="H44" s="3">
        <v>15.5355462184873</v>
      </c>
      <c r="I44" s="3">
        <v>10.620227900946</v>
      </c>
    </row>
    <row r="45">
      <c r="A45" s="1" t="s">
        <v>95</v>
      </c>
      <c r="B45" s="1">
        <v>79.0</v>
      </c>
      <c r="C45" s="1">
        <v>1004.0</v>
      </c>
      <c r="D45" s="1">
        <v>19.0</v>
      </c>
      <c r="E45" s="8">
        <v>0.0975696202531645</v>
      </c>
      <c r="F45" s="1">
        <v>21.0</v>
      </c>
      <c r="G45" s="1">
        <v>28.0</v>
      </c>
      <c r="H45" s="3">
        <v>8.32096202531645</v>
      </c>
      <c r="I45" s="3">
        <v>7.05142564531948</v>
      </c>
    </row>
    <row r="46">
      <c r="A46" s="1" t="s">
        <v>136</v>
      </c>
      <c r="B46" s="1">
        <v>110.0</v>
      </c>
      <c r="C46" s="1">
        <v>1448.0</v>
      </c>
      <c r="D46" s="1">
        <v>36.0</v>
      </c>
      <c r="E46" s="8">
        <v>0.105418181818181</v>
      </c>
      <c r="F46" s="1">
        <v>40.0</v>
      </c>
      <c r="G46" s="1">
        <v>47.0</v>
      </c>
      <c r="H46" s="3">
        <v>18.0719818181818</v>
      </c>
      <c r="I46" s="3">
        <v>12.3672485541315</v>
      </c>
    </row>
    <row r="47">
      <c r="A47" s="1" t="s">
        <v>34</v>
      </c>
      <c r="B47" s="1">
        <v>113.0</v>
      </c>
      <c r="C47" s="1">
        <v>799.0</v>
      </c>
      <c r="D47" s="1">
        <v>7.0</v>
      </c>
      <c r="E47" s="8">
        <v>0.107079646017699</v>
      </c>
      <c r="F47" s="1">
        <v>8.0</v>
      </c>
      <c r="G47" s="1">
        <v>11.0</v>
      </c>
      <c r="H47" s="3">
        <v>2.85394690265486</v>
      </c>
      <c r="I47" s="3">
        <v>2.74025633398442</v>
      </c>
    </row>
    <row r="48">
      <c r="A48" s="1" t="s">
        <v>79</v>
      </c>
      <c r="B48" s="1">
        <v>102.0</v>
      </c>
      <c r="C48" s="1">
        <v>1268.0</v>
      </c>
      <c r="D48" s="1">
        <v>16.0</v>
      </c>
      <c r="E48" s="8">
        <v>0.107196078431372</v>
      </c>
      <c r="F48" s="1">
        <v>19.0</v>
      </c>
      <c r="G48" s="1">
        <v>23.0</v>
      </c>
      <c r="H48" s="3">
        <v>7.67315686274509</v>
      </c>
      <c r="I48" s="3">
        <v>5.84921454714488</v>
      </c>
    </row>
    <row r="49">
      <c r="A49" s="1" t="s">
        <v>98</v>
      </c>
      <c r="B49" s="1">
        <v>132.0</v>
      </c>
      <c r="C49" s="1">
        <v>947.0</v>
      </c>
      <c r="D49" s="1">
        <v>25.0</v>
      </c>
      <c r="E49" s="8">
        <v>0.111818181818181</v>
      </c>
      <c r="F49" s="1">
        <v>30.0</v>
      </c>
      <c r="G49" s="1">
        <v>36.0</v>
      </c>
      <c r="H49" s="3">
        <v>12.4417272727272</v>
      </c>
      <c r="I49" s="3">
        <v>9.13813677306241</v>
      </c>
    </row>
    <row r="50">
      <c r="A50" s="1" t="s">
        <v>118</v>
      </c>
      <c r="B50" s="1">
        <v>136.0</v>
      </c>
      <c r="C50" s="1">
        <v>1406.0</v>
      </c>
      <c r="D50" s="1">
        <v>51.0</v>
      </c>
      <c r="E50" s="8">
        <v>0.11310294117647</v>
      </c>
      <c r="F50" s="1">
        <v>58.0</v>
      </c>
      <c r="G50" s="1">
        <v>69.0</v>
      </c>
      <c r="H50" s="3">
        <v>27.226294117647</v>
      </c>
      <c r="I50" s="3">
        <v>17.7009636602567</v>
      </c>
    </row>
    <row r="51">
      <c r="A51" s="1" t="s">
        <v>128</v>
      </c>
      <c r="B51" s="1">
        <v>114.0</v>
      </c>
      <c r="C51" s="1">
        <v>1786.0</v>
      </c>
      <c r="D51" s="1">
        <v>32.0</v>
      </c>
      <c r="E51" s="8">
        <v>0.119315789473684</v>
      </c>
      <c r="F51" s="1">
        <v>38.0</v>
      </c>
      <c r="G51" s="1">
        <v>48.0</v>
      </c>
      <c r="H51" s="3">
        <v>16.7009298245614</v>
      </c>
      <c r="I51" s="3">
        <v>11.7924007277949</v>
      </c>
    </row>
    <row r="52">
      <c r="A52" s="1" t="s">
        <v>124</v>
      </c>
      <c r="B52" s="1">
        <v>111.0</v>
      </c>
      <c r="C52" s="1">
        <v>1395.0</v>
      </c>
      <c r="D52" s="1">
        <v>12.0</v>
      </c>
      <c r="E52" s="8">
        <v>0.136396396396396</v>
      </c>
      <c r="F52" s="1">
        <v>16.0</v>
      </c>
      <c r="G52" s="1">
        <v>21.0</v>
      </c>
      <c r="H52" s="3">
        <v>5.82073873873873</v>
      </c>
      <c r="I52" s="3">
        <v>5.0511215946733</v>
      </c>
    </row>
    <row r="53">
      <c r="A53" s="1" t="s">
        <v>169</v>
      </c>
      <c r="B53" s="1">
        <v>114.0</v>
      </c>
      <c r="C53" s="1">
        <v>818.0</v>
      </c>
      <c r="D53" s="1">
        <v>7.0</v>
      </c>
      <c r="E53" s="8">
        <v>0.136491228070175</v>
      </c>
      <c r="F53" s="1">
        <v>10.0</v>
      </c>
      <c r="G53" s="1">
        <v>13.0</v>
      </c>
      <c r="H53" s="3">
        <v>3.03543859649122</v>
      </c>
      <c r="I53" s="3">
        <v>3.17261974331991</v>
      </c>
    </row>
    <row r="54">
      <c r="A54" s="1" t="s">
        <v>75</v>
      </c>
      <c r="B54" s="1">
        <v>134.0</v>
      </c>
      <c r="C54" s="1">
        <v>1068.0</v>
      </c>
      <c r="D54" s="1">
        <v>11.0</v>
      </c>
      <c r="E54" s="8">
        <v>0.138611940298507</v>
      </c>
      <c r="F54" s="1">
        <v>14.0</v>
      </c>
      <c r="G54" s="1">
        <v>19.0</v>
      </c>
      <c r="H54" s="3">
        <v>5.24380597014925</v>
      </c>
      <c r="I54" s="3">
        <v>4.59121228987623</v>
      </c>
    </row>
    <row r="55">
      <c r="A55" s="1" t="s">
        <v>184</v>
      </c>
      <c r="B55" s="1">
        <v>64.0</v>
      </c>
      <c r="C55" s="1">
        <v>854.0</v>
      </c>
      <c r="D55" s="1">
        <v>10.0</v>
      </c>
      <c r="E55" s="8">
        <v>0.13871875</v>
      </c>
      <c r="F55" s="1">
        <v>13.0</v>
      </c>
      <c r="G55" s="1">
        <v>17.0</v>
      </c>
      <c r="H55" s="3">
        <v>4.873625</v>
      </c>
      <c r="I55" s="3">
        <v>4.10840198366408</v>
      </c>
    </row>
    <row r="56">
      <c r="A56" s="1" t="s">
        <v>143</v>
      </c>
      <c r="B56" s="1">
        <v>107.0</v>
      </c>
      <c r="C56" s="1">
        <v>864.0</v>
      </c>
      <c r="D56" s="1">
        <v>8.0</v>
      </c>
      <c r="E56" s="8">
        <v>0.140130841121495</v>
      </c>
      <c r="F56" s="1">
        <v>10.0</v>
      </c>
      <c r="G56" s="1">
        <v>14.0</v>
      </c>
      <c r="H56" s="3">
        <v>3.79570093457943</v>
      </c>
      <c r="I56" s="3">
        <v>3.32263551291461</v>
      </c>
    </row>
    <row r="57">
      <c r="A57" s="1" t="s">
        <v>147</v>
      </c>
      <c r="B57" s="1">
        <v>52.0</v>
      </c>
      <c r="C57" s="1">
        <v>603.0</v>
      </c>
      <c r="D57" s="1">
        <v>8.0</v>
      </c>
      <c r="E57" s="8">
        <v>0.143730769230769</v>
      </c>
      <c r="F57" s="1">
        <v>10.0</v>
      </c>
      <c r="G57" s="1">
        <v>13.0</v>
      </c>
      <c r="H57" s="3">
        <v>3.9066923076923</v>
      </c>
      <c r="I57" s="3">
        <v>3.36453011657281</v>
      </c>
    </row>
    <row r="58">
      <c r="A58" s="1" t="s">
        <v>190</v>
      </c>
      <c r="B58" s="1">
        <v>37.0</v>
      </c>
      <c r="C58" s="1">
        <v>540.0</v>
      </c>
      <c r="D58" s="1">
        <v>7.0</v>
      </c>
      <c r="E58" s="8">
        <v>0.144594594594594</v>
      </c>
      <c r="F58" s="1">
        <v>9.0</v>
      </c>
      <c r="G58" s="1">
        <v>13.0</v>
      </c>
      <c r="H58" s="3">
        <v>2.978</v>
      </c>
      <c r="I58" s="3">
        <v>3.19025582300482</v>
      </c>
    </row>
    <row r="59">
      <c r="A59" s="1" t="s">
        <v>56</v>
      </c>
      <c r="B59" s="1">
        <v>120.0</v>
      </c>
      <c r="C59" s="1">
        <v>958.0</v>
      </c>
      <c r="D59" s="1">
        <v>10.0</v>
      </c>
      <c r="E59" s="8">
        <v>0.14655</v>
      </c>
      <c r="F59" s="1">
        <v>13.0</v>
      </c>
      <c r="G59" s="1">
        <v>17.0</v>
      </c>
      <c r="H59" s="3">
        <v>4.48736666666666</v>
      </c>
      <c r="I59" s="3">
        <v>4.41004615231581</v>
      </c>
    </row>
    <row r="60">
      <c r="A60" s="1" t="s">
        <v>150</v>
      </c>
      <c r="B60" s="1">
        <v>81.0</v>
      </c>
      <c r="C60" s="1">
        <v>783.0</v>
      </c>
      <c r="D60" s="1">
        <v>7.0</v>
      </c>
      <c r="E60" s="8">
        <v>0.146641975308641</v>
      </c>
      <c r="F60" s="1">
        <v>9.0</v>
      </c>
      <c r="G60" s="1">
        <v>13.0</v>
      </c>
      <c r="H60" s="3">
        <v>3.1773086419753</v>
      </c>
      <c r="I60" s="3">
        <v>3.08667285273348</v>
      </c>
    </row>
    <row r="61">
      <c r="A61" s="1" t="s">
        <v>144</v>
      </c>
      <c r="B61" s="1">
        <v>142.0</v>
      </c>
      <c r="C61" s="1">
        <v>1272.0</v>
      </c>
      <c r="D61" s="1">
        <v>14.0</v>
      </c>
      <c r="E61" s="8">
        <v>0.147211267605633</v>
      </c>
      <c r="F61" s="1">
        <v>18.0</v>
      </c>
      <c r="G61" s="1">
        <v>22.0</v>
      </c>
      <c r="H61" s="3">
        <v>7.1731690140845</v>
      </c>
      <c r="I61" s="3">
        <v>5.64776396856965</v>
      </c>
    </row>
    <row r="62">
      <c r="A62" s="1" t="s">
        <v>135</v>
      </c>
      <c r="B62" s="1">
        <v>112.0</v>
      </c>
      <c r="C62" s="1">
        <v>1304.0</v>
      </c>
      <c r="D62" s="1">
        <v>15.0</v>
      </c>
      <c r="E62" s="8">
        <v>0.149928571428571</v>
      </c>
      <c r="F62" s="1">
        <v>19.0</v>
      </c>
      <c r="G62" s="1">
        <v>25.0</v>
      </c>
      <c r="H62" s="3">
        <v>8.14373214285714</v>
      </c>
      <c r="I62" s="3">
        <v>6.04625341486973</v>
      </c>
    </row>
    <row r="63">
      <c r="A63" s="1" t="s">
        <v>67</v>
      </c>
      <c r="B63" s="1">
        <v>111.0</v>
      </c>
      <c r="C63" s="1">
        <v>864.0</v>
      </c>
      <c r="D63" s="1">
        <v>7.0</v>
      </c>
      <c r="E63" s="8">
        <v>0.152018018018018</v>
      </c>
      <c r="F63" s="1">
        <v>10.0</v>
      </c>
      <c r="G63" s="1">
        <v>13.0</v>
      </c>
      <c r="H63" s="3">
        <v>3.24263063063063</v>
      </c>
      <c r="I63" s="3">
        <v>3.19551694961519</v>
      </c>
    </row>
    <row r="64">
      <c r="A64" s="1" t="s">
        <v>94</v>
      </c>
      <c r="B64" s="1">
        <v>93.0</v>
      </c>
      <c r="C64" s="1">
        <v>767.0</v>
      </c>
      <c r="D64" s="1">
        <v>6.0</v>
      </c>
      <c r="E64" s="8">
        <v>0.15658064516129</v>
      </c>
      <c r="F64" s="1">
        <v>8.0</v>
      </c>
      <c r="G64" s="1">
        <v>12.0</v>
      </c>
      <c r="H64" s="3">
        <v>2.53290322580645</v>
      </c>
      <c r="I64" s="3">
        <v>2.86622398956827</v>
      </c>
    </row>
    <row r="65">
      <c r="A65" s="1" t="s">
        <v>64</v>
      </c>
      <c r="B65" s="1">
        <v>89.0</v>
      </c>
      <c r="C65" s="1">
        <v>1343.0</v>
      </c>
      <c r="D65" s="1">
        <v>35.0</v>
      </c>
      <c r="E65" s="8">
        <v>0.157662921348314</v>
      </c>
      <c r="F65" s="1">
        <v>44.0</v>
      </c>
      <c r="G65" s="1">
        <v>53.0</v>
      </c>
      <c r="H65" s="3">
        <v>19.5470786516853</v>
      </c>
      <c r="I65" s="3">
        <v>13.6728784030749</v>
      </c>
    </row>
    <row r="66">
      <c r="A66" s="1" t="s">
        <v>159</v>
      </c>
      <c r="B66" s="1">
        <v>130.0</v>
      </c>
      <c r="C66" s="1">
        <v>926.0</v>
      </c>
      <c r="D66" s="1">
        <v>8.0</v>
      </c>
      <c r="E66" s="8">
        <v>0.163246153846153</v>
      </c>
      <c r="F66" s="1">
        <v>11.0</v>
      </c>
      <c r="G66" s="1">
        <v>15.0</v>
      </c>
      <c r="H66" s="3">
        <v>3.9100923076923</v>
      </c>
      <c r="I66" s="3">
        <v>3.61933393669683</v>
      </c>
    </row>
    <row r="67">
      <c r="A67" s="1" t="s">
        <v>44</v>
      </c>
      <c r="B67" s="1">
        <v>116.0</v>
      </c>
      <c r="C67" s="1">
        <v>912.0</v>
      </c>
      <c r="D67" s="1">
        <v>17.0</v>
      </c>
      <c r="E67" s="8">
        <v>0.16351724137931</v>
      </c>
      <c r="F67" s="1">
        <v>21.0</v>
      </c>
      <c r="G67" s="1">
        <v>27.0</v>
      </c>
      <c r="H67" s="3">
        <v>9.94363793103448</v>
      </c>
      <c r="I67" s="3">
        <v>6.53552724886295</v>
      </c>
    </row>
    <row r="68">
      <c r="A68" s="1" t="s">
        <v>154</v>
      </c>
      <c r="B68" s="1">
        <v>132.0</v>
      </c>
      <c r="C68" s="1">
        <v>920.0</v>
      </c>
      <c r="D68" s="1">
        <v>8.0</v>
      </c>
      <c r="E68" s="8">
        <v>0.165545454545454</v>
      </c>
      <c r="F68" s="1">
        <v>11.0</v>
      </c>
      <c r="G68" s="1">
        <v>16.0</v>
      </c>
      <c r="H68" s="3">
        <v>3.7805606060606</v>
      </c>
      <c r="I68" s="3">
        <v>3.83065557182622</v>
      </c>
    </row>
    <row r="69">
      <c r="A69" s="1" t="s">
        <v>90</v>
      </c>
      <c r="B69" s="1">
        <v>77.0</v>
      </c>
      <c r="C69" s="1">
        <v>733.0</v>
      </c>
      <c r="D69" s="1">
        <v>5.0</v>
      </c>
      <c r="E69" s="8">
        <v>0.166207792207792</v>
      </c>
      <c r="F69" s="1">
        <v>7.0</v>
      </c>
      <c r="G69" s="1">
        <v>10.0</v>
      </c>
      <c r="H69" s="3">
        <v>2.1084935064935</v>
      </c>
      <c r="I69" s="3">
        <v>2.5484796721905</v>
      </c>
    </row>
    <row r="70">
      <c r="A70" s="1" t="s">
        <v>171</v>
      </c>
      <c r="B70" s="1">
        <v>95.0</v>
      </c>
      <c r="C70" s="1">
        <v>835.0</v>
      </c>
      <c r="D70" s="1">
        <v>6.0</v>
      </c>
      <c r="E70" s="8">
        <v>0.167284210526315</v>
      </c>
      <c r="F70" s="1">
        <v>9.0</v>
      </c>
      <c r="G70" s="1">
        <v>12.0</v>
      </c>
      <c r="H70" s="3">
        <v>2.88031578947368</v>
      </c>
      <c r="I70" s="3">
        <v>2.91804763592717</v>
      </c>
    </row>
    <row r="71">
      <c r="A71" s="1" t="s">
        <v>28</v>
      </c>
      <c r="B71" s="1">
        <v>80.0</v>
      </c>
      <c r="C71" s="1">
        <v>710.0</v>
      </c>
      <c r="D71" s="1">
        <v>9.0</v>
      </c>
      <c r="E71" s="8">
        <v>0.17585</v>
      </c>
      <c r="F71" s="1">
        <v>13.0</v>
      </c>
      <c r="G71" s="1">
        <v>17.0</v>
      </c>
      <c r="H71" s="3">
        <v>4.831425</v>
      </c>
      <c r="I71" s="3">
        <v>4.15105498269717</v>
      </c>
    </row>
    <row r="72">
      <c r="A72" s="1" t="s">
        <v>99</v>
      </c>
      <c r="B72" s="1">
        <v>113.0</v>
      </c>
      <c r="C72" s="1">
        <v>945.0</v>
      </c>
      <c r="D72" s="1">
        <v>7.0</v>
      </c>
      <c r="E72" s="8">
        <v>0.179716814159292</v>
      </c>
      <c r="F72" s="1">
        <v>10.0</v>
      </c>
      <c r="G72" s="1">
        <v>14.0</v>
      </c>
      <c r="H72" s="3">
        <v>3.61329203539823</v>
      </c>
      <c r="I72" s="3">
        <v>3.36722836493427</v>
      </c>
    </row>
    <row r="73">
      <c r="A73" s="1" t="s">
        <v>181</v>
      </c>
      <c r="B73" s="1">
        <v>105.0</v>
      </c>
      <c r="C73" s="1">
        <v>1737.0</v>
      </c>
      <c r="D73" s="1">
        <v>35.0</v>
      </c>
      <c r="E73" s="8">
        <v>0.183333333333333</v>
      </c>
      <c r="F73" s="1">
        <v>45.0</v>
      </c>
      <c r="G73" s="1">
        <v>55.0</v>
      </c>
      <c r="H73" s="3">
        <v>21.2584</v>
      </c>
      <c r="I73" s="3">
        <v>13.7116582621192</v>
      </c>
    </row>
    <row r="74">
      <c r="A74" s="1" t="s">
        <v>63</v>
      </c>
      <c r="B74" s="1">
        <v>126.0</v>
      </c>
      <c r="C74" s="1">
        <v>968.0</v>
      </c>
      <c r="D74" s="1">
        <v>9.0</v>
      </c>
      <c r="E74" s="8">
        <v>0.190460317460317</v>
      </c>
      <c r="F74" s="1">
        <v>13.0</v>
      </c>
      <c r="G74" s="1">
        <v>18.0</v>
      </c>
      <c r="H74" s="3">
        <v>4.94325396825396</v>
      </c>
      <c r="I74" s="3">
        <v>4.35624006534634</v>
      </c>
    </row>
    <row r="75">
      <c r="A75" s="1" t="s">
        <v>86</v>
      </c>
      <c r="B75" s="1">
        <v>97.0</v>
      </c>
      <c r="C75" s="1">
        <v>1192.0</v>
      </c>
      <c r="D75" s="1">
        <v>6.0</v>
      </c>
      <c r="E75" s="8">
        <v>0.193484536082474</v>
      </c>
      <c r="F75" s="1">
        <v>9.0</v>
      </c>
      <c r="G75" s="1">
        <v>12.0</v>
      </c>
      <c r="H75" s="3">
        <v>3.02859793814432</v>
      </c>
      <c r="I75" s="3">
        <v>3.03663994538929</v>
      </c>
    </row>
    <row r="76">
      <c r="A76" s="1" t="s">
        <v>104</v>
      </c>
      <c r="B76" s="1">
        <v>126.0</v>
      </c>
      <c r="C76" s="1">
        <v>1327.0</v>
      </c>
      <c r="D76" s="1">
        <v>12.0</v>
      </c>
      <c r="E76" s="8">
        <v>0.195460317460317</v>
      </c>
      <c r="F76" s="1">
        <v>17.0</v>
      </c>
      <c r="G76" s="1">
        <v>22.0</v>
      </c>
      <c r="H76" s="3">
        <v>6.60073015873015</v>
      </c>
      <c r="I76" s="3">
        <v>5.6047326464602</v>
      </c>
    </row>
    <row r="77">
      <c r="A77" s="1" t="s">
        <v>177</v>
      </c>
      <c r="B77" s="1">
        <v>107.0</v>
      </c>
      <c r="C77" s="1">
        <v>1579.0</v>
      </c>
      <c r="D77" s="1">
        <v>19.0</v>
      </c>
      <c r="E77" s="8">
        <v>0.195719626168224</v>
      </c>
      <c r="F77" s="1">
        <v>26.0</v>
      </c>
      <c r="G77" s="1">
        <v>32.0</v>
      </c>
      <c r="H77" s="3">
        <v>11.7854953271028</v>
      </c>
      <c r="I77" s="3">
        <v>7.80347196196623</v>
      </c>
    </row>
    <row r="78">
      <c r="A78" s="1" t="s">
        <v>91</v>
      </c>
      <c r="B78" s="1">
        <v>115.0</v>
      </c>
      <c r="C78" s="1">
        <v>1905.0</v>
      </c>
      <c r="D78" s="1">
        <v>47.0</v>
      </c>
      <c r="E78" s="8">
        <v>0.195739130434782</v>
      </c>
      <c r="F78" s="1">
        <v>60.0</v>
      </c>
      <c r="G78" s="1">
        <v>71.0</v>
      </c>
      <c r="H78" s="3">
        <v>29.4936869565217</v>
      </c>
      <c r="I78" s="3">
        <v>18.4858510915852</v>
      </c>
    </row>
    <row r="79">
      <c r="A79" s="1" t="s">
        <v>77</v>
      </c>
      <c r="B79" s="1">
        <v>81.0</v>
      </c>
      <c r="C79" s="1">
        <v>1006.0</v>
      </c>
      <c r="D79" s="1">
        <v>29.0</v>
      </c>
      <c r="E79" s="8">
        <v>0.195802469135802</v>
      </c>
      <c r="F79" s="1">
        <v>38.0</v>
      </c>
      <c r="G79" s="1">
        <v>47.0</v>
      </c>
      <c r="H79" s="3">
        <v>18.8923456790123</v>
      </c>
      <c r="I79" s="3">
        <v>11.0572211220647</v>
      </c>
    </row>
    <row r="80">
      <c r="A80" s="1" t="s">
        <v>175</v>
      </c>
      <c r="B80" s="1">
        <v>91.0</v>
      </c>
      <c r="C80" s="1">
        <v>1398.0</v>
      </c>
      <c r="D80" s="1">
        <v>18.0</v>
      </c>
      <c r="E80" s="8">
        <v>0.202373626373626</v>
      </c>
      <c r="F80" s="1">
        <v>26.0</v>
      </c>
      <c r="G80" s="1">
        <v>33.0</v>
      </c>
      <c r="H80" s="3">
        <v>10.9652087912087</v>
      </c>
      <c r="I80" s="3">
        <v>7.97678213993929</v>
      </c>
    </row>
    <row r="81">
      <c r="A81" s="1" t="s">
        <v>83</v>
      </c>
      <c r="B81" s="1">
        <v>128.0</v>
      </c>
      <c r="C81" s="1">
        <v>1015.0</v>
      </c>
      <c r="D81" s="1">
        <v>12.0</v>
      </c>
      <c r="E81" s="8">
        <v>0.203265625</v>
      </c>
      <c r="F81" s="1">
        <v>17.0</v>
      </c>
      <c r="G81" s="1">
        <v>23.0</v>
      </c>
      <c r="H81" s="3">
        <v>7.17353125</v>
      </c>
      <c r="I81" s="3">
        <v>5.45861526902871</v>
      </c>
    </row>
    <row r="82">
      <c r="A82" s="1" t="s">
        <v>162</v>
      </c>
      <c r="B82" s="1">
        <v>62.0</v>
      </c>
      <c r="C82" s="1">
        <v>1127.0</v>
      </c>
      <c r="D82" s="1">
        <v>12.0</v>
      </c>
      <c r="E82" s="8">
        <v>0.207967741935483</v>
      </c>
      <c r="F82" s="1">
        <v>18.0</v>
      </c>
      <c r="G82" s="1">
        <v>23.0</v>
      </c>
      <c r="H82" s="3">
        <v>7.16696774193548</v>
      </c>
      <c r="I82" s="3">
        <v>5.6549429561817</v>
      </c>
    </row>
    <row r="83">
      <c r="A83" s="1" t="s">
        <v>110</v>
      </c>
      <c r="B83" s="1">
        <v>129.0</v>
      </c>
      <c r="C83" s="1">
        <v>1299.0</v>
      </c>
      <c r="D83" s="1">
        <v>10.0</v>
      </c>
      <c r="E83" s="8">
        <v>0.208635658914728</v>
      </c>
      <c r="F83" s="1">
        <v>14.0</v>
      </c>
      <c r="G83" s="1">
        <v>18.0</v>
      </c>
      <c r="H83" s="3">
        <v>5.90347286821705</v>
      </c>
      <c r="I83" s="3">
        <v>4.43161478973666</v>
      </c>
    </row>
    <row r="84">
      <c r="A84" s="1" t="s">
        <v>165</v>
      </c>
      <c r="B84" s="1">
        <v>122.0</v>
      </c>
      <c r="C84" s="1">
        <v>1782.0</v>
      </c>
      <c r="D84" s="1">
        <v>25.0</v>
      </c>
      <c r="E84" s="8">
        <v>0.211213114754098</v>
      </c>
      <c r="F84" s="1">
        <v>35.0</v>
      </c>
      <c r="G84" s="1">
        <v>43.0</v>
      </c>
      <c r="H84" s="3">
        <v>15.133606557377</v>
      </c>
      <c r="I84" s="3">
        <v>10.9667254602553</v>
      </c>
    </row>
    <row r="85">
      <c r="A85" s="1" t="s">
        <v>122</v>
      </c>
      <c r="B85" s="1">
        <v>101.0</v>
      </c>
      <c r="C85" s="1">
        <v>1295.0</v>
      </c>
      <c r="D85" s="1">
        <v>17.0</v>
      </c>
      <c r="E85" s="8">
        <v>0.21239603960396</v>
      </c>
      <c r="F85" s="1">
        <v>24.0</v>
      </c>
      <c r="G85" s="1">
        <v>31.0</v>
      </c>
      <c r="H85" s="3">
        <v>10.4664356435643</v>
      </c>
      <c r="I85" s="3">
        <v>7.56291120595928</v>
      </c>
    </row>
    <row r="86">
      <c r="A86" s="1" t="s">
        <v>48</v>
      </c>
      <c r="B86" s="1">
        <v>85.0</v>
      </c>
      <c r="C86" s="1">
        <v>1047.0</v>
      </c>
      <c r="D86" s="1">
        <v>13.0</v>
      </c>
      <c r="E86" s="8">
        <v>0.215905882352941</v>
      </c>
      <c r="F86" s="1">
        <v>19.0</v>
      </c>
      <c r="G86" s="1">
        <v>24.0</v>
      </c>
      <c r="H86" s="3">
        <v>7.84108235294117</v>
      </c>
      <c r="I86" s="3">
        <v>5.97567356816099</v>
      </c>
    </row>
    <row r="87">
      <c r="A87" s="1" t="s">
        <v>73</v>
      </c>
      <c r="B87" s="1">
        <v>94.0</v>
      </c>
      <c r="C87" s="1">
        <v>1574.0</v>
      </c>
      <c r="D87" s="1">
        <v>23.0</v>
      </c>
      <c r="E87" s="8">
        <v>0.219893617021276</v>
      </c>
      <c r="F87" s="1">
        <v>33.0</v>
      </c>
      <c r="G87" s="1">
        <v>41.0</v>
      </c>
      <c r="H87" s="3">
        <v>14.0928723404255</v>
      </c>
      <c r="I87" s="3">
        <v>10.4196863719636</v>
      </c>
    </row>
    <row r="88">
      <c r="A88" s="1" t="s">
        <v>105</v>
      </c>
      <c r="B88" s="1">
        <v>97.0</v>
      </c>
      <c r="C88" s="1">
        <v>1183.0</v>
      </c>
      <c r="D88" s="1">
        <v>9.0</v>
      </c>
      <c r="E88" s="8">
        <v>0.220371134020618</v>
      </c>
      <c r="F88" s="1">
        <v>15.0</v>
      </c>
      <c r="G88" s="1">
        <v>20.0</v>
      </c>
      <c r="H88" s="3">
        <v>4.84820618556701</v>
      </c>
      <c r="I88" s="3">
        <v>4.94760692739459</v>
      </c>
    </row>
    <row r="89">
      <c r="A89" s="1" t="s">
        <v>123</v>
      </c>
      <c r="B89" s="1">
        <v>117.0</v>
      </c>
      <c r="C89" s="1">
        <v>1156.0</v>
      </c>
      <c r="D89" s="1">
        <v>12.0</v>
      </c>
      <c r="E89" s="8">
        <v>0.22225641025641</v>
      </c>
      <c r="F89" s="1">
        <v>17.0</v>
      </c>
      <c r="G89" s="1">
        <v>22.0</v>
      </c>
      <c r="H89" s="3">
        <v>7.4185641025641</v>
      </c>
      <c r="I89" s="3">
        <v>5.44675711468793</v>
      </c>
    </row>
    <row r="90">
      <c r="A90" s="1" t="s">
        <v>156</v>
      </c>
      <c r="B90" s="1">
        <v>88.0</v>
      </c>
      <c r="C90" s="1">
        <v>808.0</v>
      </c>
      <c r="D90" s="1">
        <v>8.0</v>
      </c>
      <c r="E90" s="8">
        <v>0.22690909090909</v>
      </c>
      <c r="F90" s="1">
        <v>12.0</v>
      </c>
      <c r="G90" s="1">
        <v>17.0</v>
      </c>
      <c r="H90" s="3">
        <v>4.62586363636363</v>
      </c>
      <c r="I90" s="3">
        <v>4.09489973010167</v>
      </c>
    </row>
    <row r="91">
      <c r="A91" s="1" t="s">
        <v>71</v>
      </c>
      <c r="B91" s="1">
        <v>112.0</v>
      </c>
      <c r="C91" s="1">
        <v>1116.0</v>
      </c>
      <c r="D91" s="1">
        <v>12.0</v>
      </c>
      <c r="E91" s="8">
        <v>0.242589285714285</v>
      </c>
      <c r="F91" s="1">
        <v>17.0</v>
      </c>
      <c r="G91" s="1">
        <v>22.0</v>
      </c>
      <c r="H91" s="3">
        <v>7.85980357142857</v>
      </c>
      <c r="I91" s="3">
        <v>5.28800245474752</v>
      </c>
    </row>
    <row r="92">
      <c r="A92" s="1" t="s">
        <v>87</v>
      </c>
      <c r="B92" s="1">
        <v>95.0</v>
      </c>
      <c r="C92" s="1">
        <v>1349.0</v>
      </c>
      <c r="D92" s="1">
        <v>23.0</v>
      </c>
      <c r="E92" s="8">
        <v>0.242631578947368</v>
      </c>
      <c r="F92" s="1">
        <v>35.0</v>
      </c>
      <c r="G92" s="1">
        <v>46.0</v>
      </c>
      <c r="H92" s="3">
        <v>14.7466736842105</v>
      </c>
      <c r="I92" s="3">
        <v>11.1785327390843</v>
      </c>
    </row>
    <row r="93">
      <c r="A93" s="1" t="s">
        <v>186</v>
      </c>
      <c r="B93" s="1">
        <v>123.0</v>
      </c>
      <c r="C93" s="1">
        <v>1025.0</v>
      </c>
      <c r="D93" s="1">
        <v>6.0</v>
      </c>
      <c r="E93" s="8">
        <v>0.248048780487804</v>
      </c>
      <c r="F93" s="1">
        <v>10.0</v>
      </c>
      <c r="G93" s="1">
        <v>13.0</v>
      </c>
      <c r="H93" s="3">
        <v>3.58369105691056</v>
      </c>
      <c r="I93" s="3">
        <v>3.2040529266207</v>
      </c>
    </row>
    <row r="94">
      <c r="A94" s="1" t="s">
        <v>126</v>
      </c>
      <c r="B94" s="1">
        <v>107.0</v>
      </c>
      <c r="C94" s="1">
        <v>1415.0</v>
      </c>
      <c r="D94" s="1">
        <v>18.0</v>
      </c>
      <c r="E94" s="8">
        <v>0.248485981308411</v>
      </c>
      <c r="F94" s="1">
        <v>27.0</v>
      </c>
      <c r="G94" s="1">
        <v>33.0</v>
      </c>
      <c r="H94" s="3">
        <v>12.0508224299065</v>
      </c>
      <c r="I94" s="3">
        <v>8.2878909685629</v>
      </c>
    </row>
    <row r="95">
      <c r="A95" s="1" t="s">
        <v>111</v>
      </c>
      <c r="B95" s="1">
        <v>95.0</v>
      </c>
      <c r="C95" s="1">
        <v>1129.0</v>
      </c>
      <c r="D95" s="1">
        <v>10.0</v>
      </c>
      <c r="E95" s="8">
        <v>0.251852631578947</v>
      </c>
      <c r="F95" s="1">
        <v>16.0</v>
      </c>
      <c r="G95" s="1">
        <v>21.0</v>
      </c>
      <c r="H95" s="3">
        <v>6.17597894736842</v>
      </c>
      <c r="I95" s="3">
        <v>5.26335892748697</v>
      </c>
    </row>
    <row r="96">
      <c r="A96" s="1" t="s">
        <v>116</v>
      </c>
      <c r="B96" s="1">
        <v>121.0</v>
      </c>
      <c r="C96" s="1">
        <v>1474.0</v>
      </c>
      <c r="D96" s="1">
        <v>21.0</v>
      </c>
      <c r="E96" s="8">
        <v>0.252214876033057</v>
      </c>
      <c r="F96" s="1">
        <v>31.0</v>
      </c>
      <c r="G96" s="1">
        <v>38.0</v>
      </c>
      <c r="H96" s="3">
        <v>13.8281157024793</v>
      </c>
      <c r="I96" s="3">
        <v>9.81153948307477</v>
      </c>
    </row>
    <row r="97">
      <c r="A97" s="1" t="s">
        <v>178</v>
      </c>
      <c r="B97" s="1">
        <v>94.0</v>
      </c>
      <c r="C97" s="1">
        <v>1583.0</v>
      </c>
      <c r="D97" s="1">
        <v>11.0</v>
      </c>
      <c r="E97" s="8">
        <v>0.253936170212765</v>
      </c>
      <c r="F97" s="1">
        <v>18.0</v>
      </c>
      <c r="G97" s="1">
        <v>25.0</v>
      </c>
      <c r="H97" s="3">
        <v>7.01563829787234</v>
      </c>
      <c r="I97" s="3">
        <v>5.96514968486027</v>
      </c>
    </row>
    <row r="98">
      <c r="A98" s="1" t="s">
        <v>88</v>
      </c>
      <c r="B98" s="1">
        <v>133.0</v>
      </c>
      <c r="C98" s="1">
        <v>1457.0</v>
      </c>
      <c r="D98" s="1">
        <v>14.0</v>
      </c>
      <c r="E98" s="8">
        <v>0.255503759398496</v>
      </c>
      <c r="F98" s="1">
        <v>21.0</v>
      </c>
      <c r="G98" s="1">
        <v>27.0</v>
      </c>
      <c r="H98" s="3">
        <v>9.22425563909774</v>
      </c>
      <c r="I98" s="3">
        <v>6.67127686220881</v>
      </c>
    </row>
    <row r="99">
      <c r="A99" s="1" t="s">
        <v>131</v>
      </c>
      <c r="B99" s="1">
        <v>75.0</v>
      </c>
      <c r="C99" s="1">
        <v>1173.0</v>
      </c>
      <c r="D99" s="1">
        <v>13.0</v>
      </c>
      <c r="E99" s="8">
        <v>0.25664</v>
      </c>
      <c r="F99" s="1">
        <v>22.0</v>
      </c>
      <c r="G99" s="1">
        <v>28.0</v>
      </c>
      <c r="H99" s="3">
        <v>8.31056</v>
      </c>
      <c r="I99" s="3">
        <v>7.03055657965522</v>
      </c>
    </row>
    <row r="100">
      <c r="A100" s="1" t="s">
        <v>78</v>
      </c>
      <c r="B100" s="1">
        <v>103.0</v>
      </c>
      <c r="C100" s="1">
        <v>1419.0</v>
      </c>
      <c r="D100" s="1">
        <v>9.0</v>
      </c>
      <c r="E100" s="8">
        <v>0.261067961165048</v>
      </c>
      <c r="F100" s="1">
        <v>15.0</v>
      </c>
      <c r="G100" s="1">
        <v>19.0</v>
      </c>
      <c r="H100" s="3">
        <v>5.84106796116504</v>
      </c>
      <c r="I100" s="3">
        <v>4.73933373970985</v>
      </c>
    </row>
    <row r="101">
      <c r="A101" s="1" t="s">
        <v>113</v>
      </c>
      <c r="B101" s="1">
        <v>98.0</v>
      </c>
      <c r="C101" s="1">
        <v>1404.0</v>
      </c>
      <c r="D101" s="1">
        <v>11.0</v>
      </c>
      <c r="E101" s="8">
        <v>0.261571428571428</v>
      </c>
      <c r="F101" s="1">
        <v>17.0</v>
      </c>
      <c r="G101" s="1">
        <v>22.0</v>
      </c>
      <c r="H101" s="3">
        <v>7.15114285714285</v>
      </c>
      <c r="I101" s="3">
        <v>5.52080413397489</v>
      </c>
    </row>
    <row r="102">
      <c r="A102" s="1" t="s">
        <v>108</v>
      </c>
      <c r="B102" s="1">
        <v>113.0</v>
      </c>
      <c r="C102" s="1">
        <v>1418.0</v>
      </c>
      <c r="D102" s="1">
        <v>12.0</v>
      </c>
      <c r="E102" s="8">
        <v>0.266814159292035</v>
      </c>
      <c r="F102" s="1">
        <v>19.0</v>
      </c>
      <c r="G102" s="1">
        <v>24.0</v>
      </c>
      <c r="H102" s="3">
        <v>8.07</v>
      </c>
      <c r="I102" s="3">
        <v>5.98031897512564</v>
      </c>
    </row>
    <row r="103">
      <c r="A103" s="1" t="s">
        <v>152</v>
      </c>
      <c r="B103" s="1">
        <v>91.0</v>
      </c>
      <c r="C103" s="1">
        <v>949.0</v>
      </c>
      <c r="D103" s="1">
        <v>6.0</v>
      </c>
      <c r="E103" s="8">
        <v>0.273560439560439</v>
      </c>
      <c r="F103" s="1">
        <v>11.0</v>
      </c>
      <c r="G103" s="1">
        <v>14.0</v>
      </c>
      <c r="H103" s="3">
        <v>3.81828571428571</v>
      </c>
      <c r="I103" s="3">
        <v>3.56995270780297</v>
      </c>
    </row>
    <row r="104">
      <c r="A104" s="1" t="s">
        <v>121</v>
      </c>
      <c r="B104" s="1">
        <v>117.0</v>
      </c>
      <c r="C104" s="1">
        <v>817.0</v>
      </c>
      <c r="D104" s="1">
        <v>5.0</v>
      </c>
      <c r="E104" s="8">
        <v>0.274273504273504</v>
      </c>
      <c r="F104" s="1">
        <v>11.0</v>
      </c>
      <c r="G104" s="1">
        <v>15.0</v>
      </c>
      <c r="H104" s="3">
        <v>3.0705641025641</v>
      </c>
      <c r="I104" s="3">
        <v>3.80206581585762</v>
      </c>
    </row>
    <row r="105">
      <c r="A105" s="1" t="s">
        <v>179</v>
      </c>
      <c r="B105" s="1">
        <v>119.0</v>
      </c>
      <c r="C105" s="1">
        <v>1445.0</v>
      </c>
      <c r="D105" s="1">
        <v>9.0</v>
      </c>
      <c r="E105" s="8">
        <v>0.282823529411764</v>
      </c>
      <c r="F105" s="1">
        <v>16.0</v>
      </c>
      <c r="G105" s="1">
        <v>21.0</v>
      </c>
      <c r="H105" s="3">
        <v>6.0730756302521</v>
      </c>
      <c r="I105" s="3">
        <v>5.17736876677924</v>
      </c>
    </row>
    <row r="106">
      <c r="A106" s="1" t="s">
        <v>100</v>
      </c>
      <c r="B106" s="1">
        <v>114.0</v>
      </c>
      <c r="C106" s="1">
        <v>1602.0</v>
      </c>
      <c r="D106" s="1">
        <v>13.0</v>
      </c>
      <c r="E106" s="8">
        <v>0.284859649122807</v>
      </c>
      <c r="F106" s="1">
        <v>22.0</v>
      </c>
      <c r="G106" s="1">
        <v>27.0</v>
      </c>
      <c r="H106" s="3">
        <v>9.02310526315789</v>
      </c>
      <c r="I106" s="3">
        <v>6.67711799680862</v>
      </c>
    </row>
    <row r="107">
      <c r="A107" s="1" t="s">
        <v>173</v>
      </c>
      <c r="B107" s="1">
        <v>107.0</v>
      </c>
      <c r="C107" s="1">
        <v>1485.0</v>
      </c>
      <c r="D107" s="1">
        <v>24.0</v>
      </c>
      <c r="E107" s="8">
        <v>0.29414953271028</v>
      </c>
      <c r="F107" s="1">
        <v>38.0</v>
      </c>
      <c r="G107" s="1">
        <v>47.0</v>
      </c>
      <c r="H107" s="3">
        <v>17.7536635514018</v>
      </c>
      <c r="I107" s="3">
        <v>11.1269954899993</v>
      </c>
    </row>
    <row r="108">
      <c r="A108" s="1" t="s">
        <v>102</v>
      </c>
      <c r="B108" s="1">
        <v>129.0</v>
      </c>
      <c r="C108" s="1">
        <v>996.0</v>
      </c>
      <c r="D108" s="1">
        <v>6.0</v>
      </c>
      <c r="E108" s="8">
        <v>0.304310077519379</v>
      </c>
      <c r="F108" s="1">
        <v>10.0</v>
      </c>
      <c r="G108" s="1">
        <v>14.0</v>
      </c>
      <c r="H108" s="3">
        <v>3.99080620155038</v>
      </c>
      <c r="I108" s="3">
        <v>3.37033006935458</v>
      </c>
    </row>
    <row r="109">
      <c r="A109" s="1" t="s">
        <v>97</v>
      </c>
      <c r="B109" s="1">
        <v>120.0</v>
      </c>
      <c r="C109" s="1">
        <v>1385.0</v>
      </c>
      <c r="D109" s="1">
        <v>29.0</v>
      </c>
      <c r="E109" s="8">
        <v>0.30485</v>
      </c>
      <c r="F109" s="1">
        <v>43.0</v>
      </c>
      <c r="G109" s="1">
        <v>51.0</v>
      </c>
      <c r="H109" s="3">
        <v>21.1769</v>
      </c>
      <c r="I109" s="3">
        <v>12.8874437492467</v>
      </c>
    </row>
    <row r="110">
      <c r="A110" s="1" t="s">
        <v>132</v>
      </c>
      <c r="B110" s="1">
        <v>84.0</v>
      </c>
      <c r="C110" s="1">
        <v>1015.0</v>
      </c>
      <c r="D110" s="1">
        <v>12.0</v>
      </c>
      <c r="E110" s="8">
        <v>0.307214285714285</v>
      </c>
      <c r="F110" s="1">
        <v>20.0</v>
      </c>
      <c r="G110" s="1">
        <v>26.0</v>
      </c>
      <c r="H110" s="3">
        <v>8.48371428571428</v>
      </c>
      <c r="I110" s="3">
        <v>6.45212563824517</v>
      </c>
    </row>
    <row r="111">
      <c r="A111" s="1" t="s">
        <v>142</v>
      </c>
      <c r="B111" s="1">
        <v>92.0</v>
      </c>
      <c r="C111" s="1">
        <v>1467.0</v>
      </c>
      <c r="D111" s="1">
        <v>21.0</v>
      </c>
      <c r="E111" s="8">
        <v>0.310978260869565</v>
      </c>
      <c r="F111" s="1">
        <v>36.0</v>
      </c>
      <c r="G111" s="1">
        <v>45.0</v>
      </c>
      <c r="H111" s="3">
        <v>15.5136086956521</v>
      </c>
      <c r="I111" s="3">
        <v>11.1307969566585</v>
      </c>
    </row>
    <row r="112">
      <c r="A112" s="1" t="s">
        <v>36</v>
      </c>
      <c r="B112" s="1">
        <v>122.0</v>
      </c>
      <c r="C112" s="1">
        <v>907.0</v>
      </c>
      <c r="D112" s="1">
        <v>17.0</v>
      </c>
      <c r="E112" s="8">
        <v>0.311016393442622</v>
      </c>
      <c r="F112" s="1">
        <v>27.0</v>
      </c>
      <c r="G112" s="1">
        <v>34.0</v>
      </c>
      <c r="H112" s="3">
        <v>12.1027540983606</v>
      </c>
      <c r="I112" s="3">
        <v>8.58973075143542</v>
      </c>
    </row>
    <row r="113">
      <c r="A113" s="1" t="s">
        <v>146</v>
      </c>
      <c r="B113" s="1">
        <v>65.0</v>
      </c>
      <c r="C113" s="1">
        <v>1301.0</v>
      </c>
      <c r="D113" s="1">
        <v>15.0</v>
      </c>
      <c r="E113" s="8">
        <v>0.325138461538461</v>
      </c>
      <c r="F113" s="1">
        <v>26.0</v>
      </c>
      <c r="G113" s="1">
        <v>33.0</v>
      </c>
      <c r="H113" s="3">
        <v>11.438123076923</v>
      </c>
      <c r="I113" s="3">
        <v>8.0228300502766</v>
      </c>
    </row>
    <row r="114">
      <c r="A114" s="1" t="s">
        <v>120</v>
      </c>
      <c r="B114" s="1">
        <v>77.0</v>
      </c>
      <c r="C114" s="1">
        <v>977.0</v>
      </c>
      <c r="D114" s="1">
        <v>4.0</v>
      </c>
      <c r="E114" s="8">
        <v>0.329636363636363</v>
      </c>
      <c r="F114" s="1">
        <v>8.0</v>
      </c>
      <c r="G114" s="1">
        <v>11.0</v>
      </c>
      <c r="H114" s="3">
        <v>2.74594805194805</v>
      </c>
      <c r="I114" s="3">
        <v>2.71049963236331</v>
      </c>
    </row>
    <row r="115">
      <c r="A115" s="1" t="s">
        <v>127</v>
      </c>
      <c r="B115" s="1">
        <v>101.0</v>
      </c>
      <c r="C115" s="1">
        <v>1133.0</v>
      </c>
      <c r="D115" s="1">
        <v>14.0</v>
      </c>
      <c r="E115" s="8">
        <v>0.332633663366336</v>
      </c>
      <c r="F115" s="1">
        <v>24.0</v>
      </c>
      <c r="G115" s="1">
        <v>31.0</v>
      </c>
      <c r="H115" s="3">
        <v>10.53300990099</v>
      </c>
      <c r="I115" s="3">
        <v>7.610742762434</v>
      </c>
    </row>
    <row r="116">
      <c r="A116" s="1" t="s">
        <v>164</v>
      </c>
      <c r="B116" s="1">
        <v>106.0</v>
      </c>
      <c r="C116" s="1">
        <v>1328.0</v>
      </c>
      <c r="D116" s="1">
        <v>16.0</v>
      </c>
      <c r="E116" s="8">
        <v>0.337301886792452</v>
      </c>
      <c r="F116" s="1">
        <v>29.0</v>
      </c>
      <c r="G116" s="1">
        <v>36.0</v>
      </c>
      <c r="H116" s="3">
        <v>12.091679245283</v>
      </c>
      <c r="I116" s="3">
        <v>9.08473479176684</v>
      </c>
    </row>
    <row r="117">
      <c r="A117" s="1" t="s">
        <v>103</v>
      </c>
      <c r="B117" s="1">
        <v>125.0</v>
      </c>
      <c r="C117" s="1">
        <v>1078.0</v>
      </c>
      <c r="D117" s="1">
        <v>4.0</v>
      </c>
      <c r="E117" s="8">
        <v>0.357456</v>
      </c>
      <c r="F117" s="1">
        <v>9.0</v>
      </c>
      <c r="G117" s="1">
        <v>13.0</v>
      </c>
      <c r="H117" s="3">
        <v>2.98064</v>
      </c>
      <c r="I117" s="3">
        <v>3.11789306910933</v>
      </c>
    </row>
    <row r="118">
      <c r="A118" s="1" t="s">
        <v>114</v>
      </c>
      <c r="B118" s="1">
        <v>128.0</v>
      </c>
      <c r="C118" s="1">
        <v>1741.0</v>
      </c>
      <c r="D118" s="1">
        <v>10.0</v>
      </c>
      <c r="E118" s="8">
        <v>0.36140625</v>
      </c>
      <c r="F118" s="1">
        <v>19.0</v>
      </c>
      <c r="G118" s="1">
        <v>26.0</v>
      </c>
      <c r="H118" s="3">
        <v>8.07028125</v>
      </c>
      <c r="I118" s="3">
        <v>6.19655382417505</v>
      </c>
    </row>
    <row r="119">
      <c r="A119" s="1" t="s">
        <v>139</v>
      </c>
      <c r="B119" s="1">
        <v>98.0</v>
      </c>
      <c r="C119" s="1">
        <v>1270.0</v>
      </c>
      <c r="D119" s="1">
        <v>18.0</v>
      </c>
      <c r="E119" s="8">
        <v>0.363551020408163</v>
      </c>
      <c r="F119" s="1">
        <v>32.0</v>
      </c>
      <c r="G119" s="1">
        <v>39.0</v>
      </c>
      <c r="H119" s="3">
        <v>14.4453061224489</v>
      </c>
      <c r="I119" s="3">
        <v>9.86349217911757</v>
      </c>
    </row>
    <row r="120">
      <c r="A120" s="1" t="s">
        <v>134</v>
      </c>
      <c r="B120" s="1">
        <v>113.0</v>
      </c>
      <c r="C120" s="1">
        <v>1205.0</v>
      </c>
      <c r="D120" s="1">
        <v>7.0</v>
      </c>
      <c r="E120" s="8">
        <v>0.365805309734513</v>
      </c>
      <c r="F120" s="1">
        <v>14.0</v>
      </c>
      <c r="G120" s="1">
        <v>18.0</v>
      </c>
      <c r="H120" s="3">
        <v>5.43286725663716</v>
      </c>
      <c r="I120" s="3">
        <v>4.64377090724944</v>
      </c>
    </row>
    <row r="121">
      <c r="A121" s="1" t="s">
        <v>149</v>
      </c>
      <c r="B121" s="1">
        <v>77.0</v>
      </c>
      <c r="C121" s="1">
        <v>1134.0</v>
      </c>
      <c r="D121" s="1">
        <v>8.0</v>
      </c>
      <c r="E121" s="8">
        <v>0.372753246753246</v>
      </c>
      <c r="F121" s="1">
        <v>17.0</v>
      </c>
      <c r="G121" s="1">
        <v>22.0</v>
      </c>
      <c r="H121" s="3">
        <v>6.52358441558441</v>
      </c>
      <c r="I121" s="3">
        <v>5.4642678371508</v>
      </c>
    </row>
    <row r="122">
      <c r="A122" s="1" t="s">
        <v>167</v>
      </c>
      <c r="B122" s="1">
        <v>107.0</v>
      </c>
      <c r="C122" s="1">
        <v>1301.0</v>
      </c>
      <c r="D122" s="1">
        <v>11.0</v>
      </c>
      <c r="E122" s="8">
        <v>0.37407476635514</v>
      </c>
      <c r="F122" s="1">
        <v>22.0</v>
      </c>
      <c r="G122" s="1">
        <v>28.0</v>
      </c>
      <c r="H122" s="3">
        <v>9.06385046728972</v>
      </c>
      <c r="I122" s="3">
        <v>6.72628806662412</v>
      </c>
    </row>
    <row r="123">
      <c r="A123" s="1" t="s">
        <v>174</v>
      </c>
      <c r="B123" s="1">
        <v>91.0</v>
      </c>
      <c r="C123" s="1">
        <v>1222.0</v>
      </c>
      <c r="D123" s="1">
        <v>6.0</v>
      </c>
      <c r="E123" s="8">
        <v>0.384967032967032</v>
      </c>
      <c r="F123" s="1">
        <v>14.0</v>
      </c>
      <c r="G123" s="1">
        <v>19.0</v>
      </c>
      <c r="H123" s="3">
        <v>5.0085934065934</v>
      </c>
      <c r="I123" s="3">
        <v>4.6320850453817</v>
      </c>
    </row>
    <row r="124">
      <c r="A124" s="1" t="s">
        <v>69</v>
      </c>
      <c r="B124" s="1">
        <v>93.0</v>
      </c>
      <c r="C124" s="1">
        <v>1072.0</v>
      </c>
      <c r="D124" s="1">
        <v>9.0</v>
      </c>
      <c r="E124" s="8">
        <v>0.385118279569892</v>
      </c>
      <c r="F124" s="1">
        <v>18.0</v>
      </c>
      <c r="G124" s="1">
        <v>24.0</v>
      </c>
      <c r="H124" s="3">
        <v>7.42868817204301</v>
      </c>
      <c r="I124" s="3">
        <v>5.70153069426115</v>
      </c>
    </row>
    <row r="125">
      <c r="A125" s="1" t="s">
        <v>70</v>
      </c>
      <c r="B125" s="1">
        <v>123.0</v>
      </c>
      <c r="C125" s="1">
        <v>1157.0</v>
      </c>
      <c r="D125" s="1">
        <v>11.0</v>
      </c>
      <c r="E125" s="8">
        <v>0.385788617886178</v>
      </c>
      <c r="F125" s="1">
        <v>22.0</v>
      </c>
      <c r="G125" s="1">
        <v>27.0</v>
      </c>
      <c r="H125" s="3">
        <v>9.29747967479674</v>
      </c>
      <c r="I125" s="3">
        <v>6.5634744533664</v>
      </c>
    </row>
    <row r="126">
      <c r="A126" s="1" t="s">
        <v>129</v>
      </c>
      <c r="B126" s="1">
        <v>107.0</v>
      </c>
      <c r="C126" s="1">
        <v>816.0</v>
      </c>
      <c r="D126" s="1">
        <v>7.0</v>
      </c>
      <c r="E126" s="8">
        <v>0.385906542056074</v>
      </c>
      <c r="F126" s="1">
        <v>13.0</v>
      </c>
      <c r="G126" s="1">
        <v>19.0</v>
      </c>
      <c r="H126" s="3">
        <v>5.65970093457944</v>
      </c>
      <c r="I126" s="3">
        <v>4.34723354982546</v>
      </c>
    </row>
    <row r="127">
      <c r="A127" s="1" t="s">
        <v>58</v>
      </c>
      <c r="B127" s="1">
        <v>97.0</v>
      </c>
      <c r="C127" s="1">
        <v>1093.0</v>
      </c>
      <c r="D127" s="1">
        <v>9.0</v>
      </c>
      <c r="E127" s="8">
        <v>0.387896907216494</v>
      </c>
      <c r="F127" s="1">
        <v>18.0</v>
      </c>
      <c r="G127" s="1">
        <v>24.0</v>
      </c>
      <c r="H127" s="3">
        <v>7.43459793814432</v>
      </c>
      <c r="I127" s="3">
        <v>5.64422073673099</v>
      </c>
    </row>
    <row r="128">
      <c r="A128" s="1" t="s">
        <v>140</v>
      </c>
      <c r="B128" s="1">
        <v>93.0</v>
      </c>
      <c r="C128" s="1">
        <v>1043.0</v>
      </c>
      <c r="D128" s="1">
        <v>6.0</v>
      </c>
      <c r="E128" s="8">
        <v>0.395956989247311</v>
      </c>
      <c r="F128" s="1">
        <v>13.0</v>
      </c>
      <c r="G128" s="1">
        <v>16.0</v>
      </c>
      <c r="H128" s="3">
        <v>5.05335483870967</v>
      </c>
      <c r="I128" s="3">
        <v>4.11371330213397</v>
      </c>
    </row>
    <row r="129">
      <c r="A129" s="1" t="s">
        <v>168</v>
      </c>
      <c r="B129" s="1">
        <v>71.0</v>
      </c>
      <c r="C129" s="1">
        <v>1154.0</v>
      </c>
      <c r="D129" s="1">
        <v>22.0</v>
      </c>
      <c r="E129" s="8">
        <v>0.39825352112676</v>
      </c>
      <c r="F129" s="1">
        <v>40.0</v>
      </c>
      <c r="G129" s="1">
        <v>50.0</v>
      </c>
      <c r="H129" s="3">
        <v>18.7167042253521</v>
      </c>
      <c r="I129" s="3">
        <v>12.3569241516642</v>
      </c>
    </row>
    <row r="130">
      <c r="A130" s="1" t="s">
        <v>155</v>
      </c>
      <c r="B130" s="1">
        <v>136.0</v>
      </c>
      <c r="C130" s="1">
        <v>1113.0</v>
      </c>
      <c r="D130" s="1">
        <v>10.0</v>
      </c>
      <c r="E130" s="8">
        <v>0.400838235294117</v>
      </c>
      <c r="F130" s="1">
        <v>21.0</v>
      </c>
      <c r="G130" s="1">
        <v>27.0</v>
      </c>
      <c r="H130" s="3">
        <v>8.53880882352941</v>
      </c>
      <c r="I130" s="3">
        <v>6.87824958871281</v>
      </c>
    </row>
    <row r="131">
      <c r="A131" s="1" t="s">
        <v>187</v>
      </c>
      <c r="B131" s="1">
        <v>99.0</v>
      </c>
      <c r="C131" s="1">
        <v>905.0</v>
      </c>
      <c r="D131" s="1">
        <v>5.0</v>
      </c>
      <c r="E131" s="8">
        <v>0.402080808080808</v>
      </c>
      <c r="F131" s="1">
        <v>12.0</v>
      </c>
      <c r="G131" s="1">
        <v>17.0</v>
      </c>
      <c r="H131" s="3">
        <v>4.35543434343434</v>
      </c>
      <c r="I131" s="3">
        <v>4.01160560858374</v>
      </c>
    </row>
    <row r="132">
      <c r="A132" s="1" t="s">
        <v>119</v>
      </c>
      <c r="B132" s="1">
        <v>130.0</v>
      </c>
      <c r="C132" s="1">
        <v>1835.0</v>
      </c>
      <c r="D132" s="1">
        <v>17.0</v>
      </c>
      <c r="E132" s="8">
        <v>0.406938461538461</v>
      </c>
      <c r="F132" s="1">
        <v>33.0</v>
      </c>
      <c r="G132" s="1">
        <v>40.0</v>
      </c>
      <c r="H132" s="3">
        <v>14.8863692307692</v>
      </c>
      <c r="I132" s="3">
        <v>9.86394734774335</v>
      </c>
    </row>
    <row r="133">
      <c r="A133" s="1" t="s">
        <v>161</v>
      </c>
      <c r="B133" s="1">
        <v>105.0</v>
      </c>
      <c r="C133" s="1">
        <v>921.0</v>
      </c>
      <c r="D133" s="1">
        <v>5.0</v>
      </c>
      <c r="E133" s="8">
        <v>0.424323809523809</v>
      </c>
      <c r="F133" s="1">
        <v>12.0</v>
      </c>
      <c r="G133" s="1">
        <v>15.0</v>
      </c>
      <c r="H133" s="3">
        <v>4.4308</v>
      </c>
      <c r="I133" s="3">
        <v>3.79704545892498</v>
      </c>
    </row>
    <row r="134">
      <c r="A134" s="1" t="s">
        <v>145</v>
      </c>
      <c r="B134" s="1">
        <v>94.0</v>
      </c>
      <c r="C134" s="1">
        <v>1393.0</v>
      </c>
      <c r="D134" s="1">
        <v>9.0</v>
      </c>
      <c r="E134" s="8">
        <v>0.439361702127659</v>
      </c>
      <c r="F134" s="1">
        <v>20.0</v>
      </c>
      <c r="G134" s="1">
        <v>26.0</v>
      </c>
      <c r="H134" s="3">
        <v>8.40931914893617</v>
      </c>
      <c r="I134" s="3">
        <v>6.44281146212131</v>
      </c>
    </row>
    <row r="135">
      <c r="A135" s="1" t="s">
        <v>125</v>
      </c>
      <c r="B135" s="1">
        <v>96.0</v>
      </c>
      <c r="C135" s="1">
        <v>996.0</v>
      </c>
      <c r="D135" s="1">
        <v>7.0</v>
      </c>
      <c r="E135" s="8">
        <v>0.4489375</v>
      </c>
      <c r="F135" s="1">
        <v>16.0</v>
      </c>
      <c r="G135" s="1">
        <v>21.0</v>
      </c>
      <c r="H135" s="3">
        <v>6.5881875</v>
      </c>
      <c r="I135" s="3">
        <v>5.25473735133454</v>
      </c>
    </row>
    <row r="136">
      <c r="A136" s="1" t="s">
        <v>158</v>
      </c>
      <c r="B136" s="1">
        <v>140.0</v>
      </c>
      <c r="C136" s="1">
        <v>1266.0</v>
      </c>
      <c r="D136" s="1">
        <v>7.0</v>
      </c>
      <c r="E136" s="8">
        <v>0.458542857142857</v>
      </c>
      <c r="F136" s="1">
        <v>16.0</v>
      </c>
      <c r="G136" s="1">
        <v>20.0</v>
      </c>
      <c r="H136" s="3">
        <v>6.59542857142857</v>
      </c>
      <c r="I136" s="3">
        <v>5.05842795616929</v>
      </c>
    </row>
    <row r="137">
      <c r="A137" s="1" t="s">
        <v>117</v>
      </c>
      <c r="B137" s="1">
        <v>111.0</v>
      </c>
      <c r="C137" s="1">
        <v>846.0</v>
      </c>
      <c r="D137" s="1">
        <v>4.0</v>
      </c>
      <c r="E137" s="8">
        <v>0.464252252252252</v>
      </c>
      <c r="F137" s="1">
        <v>10.0</v>
      </c>
      <c r="G137" s="1">
        <v>13.0</v>
      </c>
      <c r="H137" s="3">
        <v>3.77563963963963</v>
      </c>
      <c r="I137" s="3">
        <v>3.20799750845984</v>
      </c>
    </row>
    <row r="138">
      <c r="A138" s="1" t="s">
        <v>115</v>
      </c>
      <c r="B138" s="1">
        <v>65.0</v>
      </c>
      <c r="C138" s="1">
        <v>669.0</v>
      </c>
      <c r="D138" s="1">
        <v>5.0</v>
      </c>
      <c r="E138" s="8">
        <v>0.482338461538461</v>
      </c>
      <c r="F138" s="1">
        <v>13.0</v>
      </c>
      <c r="G138" s="1">
        <v>18.0</v>
      </c>
      <c r="H138" s="3">
        <v>5.08107692307692</v>
      </c>
      <c r="I138" s="3">
        <v>4.19124861993211</v>
      </c>
    </row>
    <row r="139">
      <c r="A139" s="1" t="s">
        <v>183</v>
      </c>
      <c r="B139" s="1">
        <v>58.0</v>
      </c>
      <c r="C139" s="1">
        <v>715.0</v>
      </c>
      <c r="D139" s="1">
        <v>4.0</v>
      </c>
      <c r="E139" s="8">
        <v>0.51003448275862</v>
      </c>
      <c r="F139" s="1">
        <v>12.0</v>
      </c>
      <c r="G139" s="1">
        <v>17.0</v>
      </c>
      <c r="H139" s="3">
        <v>4.42244827586206</v>
      </c>
      <c r="I139" s="3">
        <v>3.9021019365448</v>
      </c>
    </row>
    <row r="140">
      <c r="A140" s="1" t="s">
        <v>151</v>
      </c>
      <c r="B140" s="1">
        <v>78.0</v>
      </c>
      <c r="C140" s="1">
        <v>927.0</v>
      </c>
      <c r="D140" s="1">
        <v>4.0</v>
      </c>
      <c r="E140" s="8">
        <v>0.537307692307692</v>
      </c>
      <c r="F140" s="1">
        <v>13.0</v>
      </c>
      <c r="G140" s="1">
        <v>18.0</v>
      </c>
      <c r="H140" s="3">
        <v>4.75517948717948</v>
      </c>
      <c r="I140" s="3">
        <v>4.11924953876991</v>
      </c>
    </row>
    <row r="141">
      <c r="A141" s="1" t="s">
        <v>176</v>
      </c>
      <c r="B141" s="1">
        <v>115.0</v>
      </c>
      <c r="C141" s="1">
        <v>1393.0</v>
      </c>
      <c r="D141" s="1">
        <v>9.0</v>
      </c>
      <c r="E141" s="8">
        <v>0.537460869565217</v>
      </c>
      <c r="F141" s="1">
        <v>23.0</v>
      </c>
      <c r="G141" s="1">
        <v>28.0</v>
      </c>
      <c r="H141" s="3">
        <v>10.0169565217391</v>
      </c>
      <c r="I141" s="3">
        <v>7.08188929274041</v>
      </c>
    </row>
    <row r="142">
      <c r="A142" s="1" t="s">
        <v>148</v>
      </c>
      <c r="B142" s="1">
        <v>110.0</v>
      </c>
      <c r="C142" s="1">
        <v>1291.0</v>
      </c>
      <c r="D142" s="1">
        <v>5.0</v>
      </c>
      <c r="E142" s="8">
        <v>0.565036363636363</v>
      </c>
      <c r="F142" s="1">
        <v>17.0</v>
      </c>
      <c r="G142" s="1">
        <v>22.0</v>
      </c>
      <c r="H142" s="3">
        <v>6.4918</v>
      </c>
      <c r="I142" s="3">
        <v>5.4314945236095</v>
      </c>
    </row>
    <row r="143">
      <c r="A143" s="1" t="s">
        <v>185</v>
      </c>
      <c r="B143" s="1">
        <v>102.0</v>
      </c>
      <c r="C143" s="1">
        <v>1501.0</v>
      </c>
      <c r="D143" s="1">
        <v>12.0</v>
      </c>
      <c r="E143" s="8">
        <v>0.591156862745098</v>
      </c>
      <c r="F143" s="1">
        <v>34.0</v>
      </c>
      <c r="G143" s="1">
        <v>42.0</v>
      </c>
      <c r="H143" s="3">
        <v>15.3673921568627</v>
      </c>
      <c r="I143" s="3">
        <v>10.6793360786851</v>
      </c>
    </row>
    <row r="144">
      <c r="A144" s="1" t="s">
        <v>92</v>
      </c>
      <c r="B144" s="1">
        <v>85.0</v>
      </c>
      <c r="C144" s="1">
        <v>764.0</v>
      </c>
      <c r="D144" s="1">
        <v>2.0</v>
      </c>
      <c r="E144" s="8">
        <v>0.591482352941176</v>
      </c>
      <c r="F144" s="1">
        <v>8.0</v>
      </c>
      <c r="G144" s="1">
        <v>11.0</v>
      </c>
      <c r="H144" s="3">
        <v>2.74237647058823</v>
      </c>
      <c r="I144" s="3">
        <v>2.71158855102218</v>
      </c>
    </row>
    <row r="145">
      <c r="A145" s="1" t="s">
        <v>180</v>
      </c>
      <c r="B145" s="1">
        <v>95.0</v>
      </c>
      <c r="C145" s="1">
        <v>804.0</v>
      </c>
      <c r="D145" s="1">
        <v>2.0</v>
      </c>
      <c r="E145" s="8">
        <v>0.603326315789473</v>
      </c>
      <c r="F145" s="1">
        <v>8.0</v>
      </c>
      <c r="G145" s="1">
        <v>11.0</v>
      </c>
      <c r="H145" s="3">
        <v>2.798</v>
      </c>
      <c r="I145" s="3">
        <v>2.72331380954585</v>
      </c>
    </row>
    <row r="146">
      <c r="A146" s="1" t="s">
        <v>170</v>
      </c>
      <c r="B146" s="1">
        <v>98.0</v>
      </c>
      <c r="C146" s="1">
        <v>1167.0</v>
      </c>
      <c r="D146" s="1">
        <v>5.0</v>
      </c>
      <c r="E146" s="8">
        <v>0.650489795918367</v>
      </c>
      <c r="F146" s="1">
        <v>19.0</v>
      </c>
      <c r="G146" s="1">
        <v>25.0</v>
      </c>
      <c r="H146" s="3">
        <v>7.79959183673469</v>
      </c>
      <c r="I146" s="3">
        <v>6.02690903253599</v>
      </c>
    </row>
    <row r="147">
      <c r="A147" s="1" t="s">
        <v>166</v>
      </c>
      <c r="B147" s="1">
        <v>129.0</v>
      </c>
      <c r="C147" s="1">
        <v>1420.0</v>
      </c>
      <c r="D147" s="1">
        <v>10.0</v>
      </c>
      <c r="E147" s="8">
        <v>0.656232558139534</v>
      </c>
      <c r="F147" s="1">
        <v>41.0</v>
      </c>
      <c r="G147" s="1">
        <v>50.0</v>
      </c>
      <c r="H147" s="3">
        <v>17.5748527131782</v>
      </c>
      <c r="I147" s="3">
        <v>12.9346584539133</v>
      </c>
    </row>
    <row r="148">
      <c r="A148" s="1" t="s">
        <v>182</v>
      </c>
      <c r="B148" s="1">
        <v>64.0</v>
      </c>
      <c r="C148" s="1">
        <v>757.0</v>
      </c>
      <c r="D148" s="1">
        <v>3.0</v>
      </c>
      <c r="E148" s="8">
        <v>0.68003125</v>
      </c>
      <c r="F148" s="1">
        <v>12.0</v>
      </c>
      <c r="G148" s="1">
        <v>16.0</v>
      </c>
      <c r="H148" s="3">
        <v>4.9983125</v>
      </c>
      <c r="I148" s="3">
        <v>3.99306394293201</v>
      </c>
    </row>
    <row r="149">
      <c r="A149" s="1" t="s">
        <v>80</v>
      </c>
      <c r="B149" s="1">
        <v>131.0</v>
      </c>
      <c r="C149" s="1">
        <v>1129.0</v>
      </c>
      <c r="D149" s="1">
        <v>1.0</v>
      </c>
      <c r="E149" s="8">
        <v>0.738229007633587</v>
      </c>
      <c r="F149" s="1">
        <v>10.0</v>
      </c>
      <c r="G149" s="1">
        <v>14.0</v>
      </c>
      <c r="H149" s="3">
        <v>3.44609160305343</v>
      </c>
      <c r="I149" s="3">
        <v>3.54044601807117</v>
      </c>
    </row>
    <row r="150">
      <c r="A150" s="1" t="s">
        <v>89</v>
      </c>
      <c r="B150" s="1">
        <v>105.0</v>
      </c>
      <c r="C150" s="1">
        <v>1223.0</v>
      </c>
      <c r="D150" s="1">
        <v>3.0</v>
      </c>
      <c r="E150" s="8">
        <v>0.744514285714285</v>
      </c>
      <c r="F150" s="1">
        <v>15.0</v>
      </c>
      <c r="G150" s="1">
        <v>19.0</v>
      </c>
      <c r="H150" s="3">
        <v>6.02721904761904</v>
      </c>
      <c r="I150" s="3">
        <v>4.59616839175322</v>
      </c>
    </row>
    <row r="151">
      <c r="A151" s="1" t="s">
        <v>153</v>
      </c>
      <c r="B151" s="1">
        <v>113.0</v>
      </c>
      <c r="C151" s="1">
        <v>888.0</v>
      </c>
      <c r="D151" s="1">
        <v>1.0</v>
      </c>
      <c r="E151" s="8">
        <v>0.763327433628318</v>
      </c>
      <c r="F151" s="1">
        <v>7.0</v>
      </c>
      <c r="G151" s="1">
        <v>10.0</v>
      </c>
      <c r="H151" s="3">
        <v>2.54631858407079</v>
      </c>
      <c r="I151" s="3">
        <v>2.47542893133279</v>
      </c>
    </row>
    <row r="152">
      <c r="A152" s="1" t="s">
        <v>189</v>
      </c>
      <c r="B152" s="1">
        <v>68.0</v>
      </c>
      <c r="C152" s="1">
        <v>877.0</v>
      </c>
      <c r="D152" s="1">
        <v>1.0</v>
      </c>
      <c r="E152" s="8">
        <v>0.853735294117647</v>
      </c>
      <c r="F152" s="1">
        <v>11.0</v>
      </c>
      <c r="G152" s="1">
        <v>15.0</v>
      </c>
      <c r="H152" s="3">
        <v>4.47885294117647</v>
      </c>
      <c r="I152" s="3">
        <v>3.63370980122934</v>
      </c>
    </row>
    <row r="153">
      <c r="A153" s="1" t="s">
        <v>163</v>
      </c>
      <c r="B153" s="1">
        <v>134.0</v>
      </c>
      <c r="C153" s="1">
        <v>978.0</v>
      </c>
      <c r="D153" s="1">
        <v>0.0</v>
      </c>
      <c r="E153" s="8">
        <v>1.0</v>
      </c>
      <c r="F153" s="1">
        <v>9.0</v>
      </c>
      <c r="G153" s="1">
        <v>13.0</v>
      </c>
      <c r="H153" s="3">
        <v>2.74485074626865</v>
      </c>
      <c r="I153" s="3">
        <v>3.21539492597132</v>
      </c>
    </row>
    <row r="154">
      <c r="A154" s="1" t="s">
        <v>188</v>
      </c>
      <c r="B154" s="1">
        <v>73.0</v>
      </c>
      <c r="C154" s="1">
        <v>543.0</v>
      </c>
      <c r="D154" s="1">
        <v>0.0</v>
      </c>
      <c r="E154" s="8">
        <v>1.0</v>
      </c>
      <c r="F154" s="1">
        <v>9.0</v>
      </c>
      <c r="G154" s="1">
        <v>12.0</v>
      </c>
      <c r="H154" s="3">
        <v>3.30991780821917</v>
      </c>
      <c r="I154" s="3">
        <v>3.0396746840781</v>
      </c>
    </row>
    <row r="155">
      <c r="E155" s="13"/>
      <c r="H155" s="16"/>
      <c r="I155" s="16"/>
    </row>
    <row r="156">
      <c r="E156" s="13"/>
      <c r="H156" s="16"/>
      <c r="I156" s="16"/>
    </row>
    <row r="157">
      <c r="E157" s="13"/>
      <c r="H157" s="16"/>
      <c r="I157" s="16"/>
    </row>
    <row r="158">
      <c r="E158" s="13"/>
      <c r="H158" s="16"/>
      <c r="I158" s="16"/>
    </row>
    <row r="159">
      <c r="E159" s="13"/>
      <c r="H159" s="16"/>
      <c r="I159" s="16"/>
    </row>
    <row r="160">
      <c r="E160" s="13"/>
      <c r="H160" s="16"/>
      <c r="I160" s="16"/>
    </row>
    <row r="161">
      <c r="E161" s="13"/>
      <c r="H161" s="16"/>
      <c r="I161" s="16"/>
    </row>
    <row r="162">
      <c r="E162" s="13"/>
      <c r="H162" s="16"/>
      <c r="I162" s="16"/>
    </row>
    <row r="163">
      <c r="E163" s="13"/>
      <c r="H163" s="16"/>
      <c r="I163" s="16"/>
    </row>
    <row r="164">
      <c r="E164" s="13"/>
      <c r="H164" s="16"/>
      <c r="I164" s="16"/>
    </row>
    <row r="165">
      <c r="E165" s="13"/>
      <c r="H165" s="16"/>
      <c r="I165" s="16"/>
    </row>
    <row r="166">
      <c r="E166" s="13"/>
      <c r="H166" s="16"/>
      <c r="I166" s="16"/>
    </row>
    <row r="167">
      <c r="E167" s="13"/>
      <c r="H167" s="16"/>
      <c r="I167" s="16"/>
    </row>
    <row r="168">
      <c r="E168" s="13"/>
      <c r="H168" s="16"/>
      <c r="I168" s="16"/>
    </row>
    <row r="169">
      <c r="E169" s="13"/>
      <c r="H169" s="16"/>
      <c r="I169" s="16"/>
    </row>
    <row r="170">
      <c r="E170" s="13"/>
      <c r="H170" s="16"/>
      <c r="I170" s="16"/>
    </row>
    <row r="171">
      <c r="E171" s="13"/>
      <c r="H171" s="16"/>
      <c r="I171" s="16"/>
    </row>
    <row r="172">
      <c r="E172" s="13"/>
      <c r="H172" s="16"/>
      <c r="I172" s="16"/>
    </row>
    <row r="173">
      <c r="E173" s="13"/>
      <c r="H173" s="16"/>
      <c r="I173" s="16"/>
    </row>
    <row r="174">
      <c r="E174" s="13"/>
      <c r="H174" s="16"/>
      <c r="I174" s="16"/>
    </row>
    <row r="175">
      <c r="E175" s="13"/>
      <c r="H175" s="16"/>
      <c r="I175" s="16"/>
    </row>
    <row r="176">
      <c r="E176" s="13"/>
      <c r="H176" s="16"/>
      <c r="I176" s="16"/>
    </row>
    <row r="177">
      <c r="E177" s="13"/>
      <c r="H177" s="16"/>
      <c r="I177" s="16"/>
    </row>
    <row r="178">
      <c r="E178" s="13"/>
      <c r="H178" s="16"/>
      <c r="I178" s="16"/>
    </row>
    <row r="179">
      <c r="E179" s="13"/>
      <c r="H179" s="16"/>
      <c r="I179" s="16"/>
    </row>
    <row r="180">
      <c r="E180" s="13"/>
      <c r="H180" s="16"/>
      <c r="I180" s="16"/>
    </row>
    <row r="181">
      <c r="E181" s="13"/>
      <c r="H181" s="16"/>
      <c r="I181" s="16"/>
    </row>
    <row r="182">
      <c r="E182" s="13"/>
      <c r="H182" s="16"/>
      <c r="I182" s="16"/>
    </row>
    <row r="183">
      <c r="E183" s="13"/>
      <c r="H183" s="16"/>
      <c r="I183" s="16"/>
    </row>
    <row r="184">
      <c r="E184" s="13"/>
      <c r="H184" s="16"/>
      <c r="I184" s="16"/>
    </row>
    <row r="185">
      <c r="E185" s="13"/>
      <c r="H185" s="16"/>
      <c r="I185" s="16"/>
    </row>
    <row r="186">
      <c r="E186" s="13"/>
      <c r="H186" s="16"/>
      <c r="I186" s="16"/>
    </row>
    <row r="187">
      <c r="E187" s="13"/>
      <c r="H187" s="16"/>
      <c r="I187" s="16"/>
    </row>
    <row r="188">
      <c r="E188" s="13"/>
      <c r="H188" s="16"/>
      <c r="I188" s="16"/>
    </row>
    <row r="189">
      <c r="E189" s="13"/>
      <c r="H189" s="16"/>
      <c r="I189" s="16"/>
    </row>
    <row r="190">
      <c r="E190" s="13"/>
      <c r="H190" s="16"/>
      <c r="I190" s="16"/>
    </row>
    <row r="191">
      <c r="E191" s="13"/>
      <c r="H191" s="16"/>
      <c r="I191" s="16"/>
    </row>
    <row r="192">
      <c r="E192" s="13"/>
      <c r="H192" s="16"/>
      <c r="I192" s="16"/>
    </row>
    <row r="193">
      <c r="E193" s="13"/>
      <c r="H193" s="16"/>
      <c r="I193" s="16"/>
    </row>
    <row r="194">
      <c r="E194" s="13"/>
      <c r="H194" s="16"/>
      <c r="I194" s="16"/>
    </row>
    <row r="195">
      <c r="E195" s="13"/>
      <c r="H195" s="16"/>
      <c r="I195" s="16"/>
    </row>
    <row r="196">
      <c r="E196" s="13"/>
      <c r="H196" s="16"/>
      <c r="I196" s="16"/>
    </row>
    <row r="197">
      <c r="E197" s="13"/>
      <c r="H197" s="16"/>
      <c r="I197" s="16"/>
    </row>
    <row r="198">
      <c r="E198" s="13"/>
      <c r="H198" s="16"/>
      <c r="I198" s="16"/>
    </row>
    <row r="199">
      <c r="E199" s="13"/>
      <c r="H199" s="16"/>
      <c r="I199" s="16"/>
    </row>
    <row r="200">
      <c r="E200" s="13"/>
      <c r="H200" s="16"/>
      <c r="I200" s="16"/>
    </row>
    <row r="201">
      <c r="E201" s="13"/>
      <c r="H201" s="16"/>
      <c r="I201" s="16"/>
    </row>
    <row r="202">
      <c r="E202" s="13"/>
      <c r="H202" s="16"/>
      <c r="I202" s="16"/>
    </row>
    <row r="203">
      <c r="E203" s="13"/>
      <c r="H203" s="16"/>
      <c r="I203" s="16"/>
    </row>
    <row r="204">
      <c r="E204" s="13"/>
      <c r="H204" s="16"/>
      <c r="I204" s="16"/>
    </row>
    <row r="205">
      <c r="E205" s="13"/>
      <c r="H205" s="16"/>
      <c r="I205" s="16"/>
    </row>
    <row r="206">
      <c r="E206" s="13"/>
      <c r="H206" s="16"/>
      <c r="I206" s="16"/>
    </row>
    <row r="207">
      <c r="E207" s="13"/>
      <c r="H207" s="16"/>
      <c r="I207" s="16"/>
    </row>
    <row r="208">
      <c r="E208" s="13"/>
      <c r="H208" s="16"/>
      <c r="I208" s="16"/>
    </row>
    <row r="209">
      <c r="E209" s="13"/>
      <c r="H209" s="16"/>
      <c r="I209" s="16"/>
    </row>
    <row r="210">
      <c r="E210" s="13"/>
      <c r="H210" s="16"/>
      <c r="I210" s="16"/>
    </row>
    <row r="211">
      <c r="E211" s="13"/>
      <c r="H211" s="16"/>
      <c r="I211" s="16"/>
    </row>
    <row r="212">
      <c r="E212" s="13"/>
      <c r="H212" s="16"/>
      <c r="I212" s="16"/>
    </row>
    <row r="213">
      <c r="E213" s="13"/>
      <c r="H213" s="16"/>
      <c r="I213" s="16"/>
    </row>
    <row r="214">
      <c r="E214" s="13"/>
      <c r="H214" s="16"/>
      <c r="I214" s="16"/>
    </row>
    <row r="215">
      <c r="E215" s="13"/>
      <c r="H215" s="16"/>
      <c r="I215" s="16"/>
    </row>
    <row r="216">
      <c r="E216" s="13"/>
      <c r="H216" s="16"/>
      <c r="I216" s="16"/>
    </row>
    <row r="217">
      <c r="E217" s="13"/>
      <c r="H217" s="16"/>
      <c r="I217" s="16"/>
    </row>
    <row r="218">
      <c r="E218" s="13"/>
      <c r="H218" s="16"/>
      <c r="I218" s="16"/>
    </row>
    <row r="219">
      <c r="E219" s="13"/>
      <c r="H219" s="16"/>
      <c r="I219" s="16"/>
    </row>
    <row r="220">
      <c r="E220" s="13"/>
      <c r="H220" s="16"/>
      <c r="I220" s="16"/>
    </row>
    <row r="221">
      <c r="E221" s="13"/>
      <c r="H221" s="16"/>
      <c r="I221" s="16"/>
    </row>
    <row r="222">
      <c r="E222" s="13"/>
      <c r="H222" s="16"/>
      <c r="I222" s="16"/>
    </row>
    <row r="223">
      <c r="E223" s="13"/>
      <c r="H223" s="16"/>
      <c r="I223" s="16"/>
    </row>
    <row r="224">
      <c r="E224" s="13"/>
      <c r="H224" s="16"/>
      <c r="I224" s="16"/>
    </row>
    <row r="225">
      <c r="E225" s="13"/>
      <c r="H225" s="16"/>
      <c r="I225" s="16"/>
    </row>
    <row r="226">
      <c r="E226" s="13"/>
      <c r="H226" s="16"/>
      <c r="I226" s="16"/>
    </row>
    <row r="227">
      <c r="E227" s="13"/>
      <c r="H227" s="16"/>
      <c r="I227" s="16"/>
    </row>
    <row r="228">
      <c r="E228" s="13"/>
      <c r="H228" s="16"/>
      <c r="I228" s="16"/>
    </row>
    <row r="229">
      <c r="E229" s="13"/>
      <c r="H229" s="16"/>
      <c r="I229" s="16"/>
    </row>
    <row r="230">
      <c r="E230" s="13"/>
      <c r="H230" s="16"/>
      <c r="I230" s="16"/>
    </row>
    <row r="231">
      <c r="E231" s="13"/>
      <c r="H231" s="16"/>
      <c r="I231" s="16"/>
    </row>
    <row r="232">
      <c r="E232" s="13"/>
      <c r="H232" s="16"/>
      <c r="I232" s="16"/>
    </row>
    <row r="233">
      <c r="E233" s="13"/>
      <c r="H233" s="16"/>
      <c r="I233" s="16"/>
    </row>
    <row r="234">
      <c r="E234" s="13"/>
      <c r="H234" s="16"/>
      <c r="I234" s="16"/>
    </row>
    <row r="235">
      <c r="E235" s="13"/>
      <c r="H235" s="16"/>
      <c r="I235" s="16"/>
    </row>
    <row r="236">
      <c r="E236" s="13"/>
      <c r="H236" s="16"/>
      <c r="I236" s="16"/>
    </row>
    <row r="237">
      <c r="E237" s="13"/>
      <c r="H237" s="16"/>
      <c r="I237" s="16"/>
    </row>
    <row r="238">
      <c r="E238" s="13"/>
      <c r="H238" s="16"/>
      <c r="I238" s="16"/>
    </row>
    <row r="239">
      <c r="E239" s="13"/>
      <c r="H239" s="16"/>
      <c r="I239" s="16"/>
    </row>
    <row r="240">
      <c r="E240" s="13"/>
      <c r="H240" s="16"/>
      <c r="I240" s="16"/>
    </row>
    <row r="241">
      <c r="E241" s="13"/>
      <c r="H241" s="16"/>
      <c r="I241" s="16"/>
    </row>
    <row r="242">
      <c r="E242" s="13"/>
      <c r="H242" s="16"/>
      <c r="I242" s="16"/>
    </row>
    <row r="243">
      <c r="E243" s="13"/>
      <c r="H243" s="16"/>
      <c r="I243" s="16"/>
    </row>
    <row r="244">
      <c r="E244" s="13"/>
      <c r="H244" s="16"/>
      <c r="I244" s="16"/>
    </row>
    <row r="245">
      <c r="E245" s="13"/>
      <c r="H245" s="16"/>
      <c r="I245" s="16"/>
    </row>
    <row r="246">
      <c r="E246" s="13"/>
      <c r="H246" s="16"/>
      <c r="I246" s="16"/>
    </row>
    <row r="247">
      <c r="E247" s="13"/>
      <c r="H247" s="16"/>
      <c r="I247" s="16"/>
    </row>
    <row r="248">
      <c r="E248" s="13"/>
      <c r="H248" s="16"/>
      <c r="I248" s="16"/>
    </row>
    <row r="249">
      <c r="E249" s="13"/>
      <c r="H249" s="16"/>
      <c r="I249" s="16"/>
    </row>
    <row r="250">
      <c r="E250" s="13"/>
      <c r="H250" s="16"/>
      <c r="I250" s="16"/>
    </row>
    <row r="251">
      <c r="E251" s="13"/>
      <c r="H251" s="16"/>
      <c r="I251" s="16"/>
    </row>
    <row r="252">
      <c r="E252" s="13"/>
      <c r="H252" s="16"/>
      <c r="I252" s="16"/>
    </row>
    <row r="253">
      <c r="E253" s="13"/>
      <c r="H253" s="16"/>
      <c r="I253" s="16"/>
    </row>
    <row r="254">
      <c r="E254" s="13"/>
      <c r="H254" s="16"/>
      <c r="I254" s="16"/>
    </row>
    <row r="255">
      <c r="E255" s="13"/>
      <c r="H255" s="16"/>
      <c r="I255" s="16"/>
    </row>
    <row r="256">
      <c r="E256" s="13"/>
      <c r="H256" s="16"/>
      <c r="I256" s="16"/>
    </row>
    <row r="257">
      <c r="E257" s="13"/>
      <c r="H257" s="16"/>
      <c r="I257" s="16"/>
    </row>
    <row r="258">
      <c r="E258" s="13"/>
      <c r="H258" s="16"/>
      <c r="I258" s="16"/>
    </row>
    <row r="259">
      <c r="E259" s="13"/>
      <c r="H259" s="16"/>
      <c r="I259" s="16"/>
    </row>
    <row r="260">
      <c r="E260" s="13"/>
      <c r="H260" s="16"/>
      <c r="I260" s="16"/>
    </row>
    <row r="261">
      <c r="E261" s="13"/>
      <c r="H261" s="16"/>
      <c r="I261" s="16"/>
    </row>
    <row r="262">
      <c r="E262" s="13"/>
      <c r="H262" s="16"/>
      <c r="I262" s="16"/>
    </row>
    <row r="263">
      <c r="E263" s="13"/>
      <c r="H263" s="16"/>
      <c r="I263" s="16"/>
    </row>
    <row r="264">
      <c r="E264" s="13"/>
      <c r="H264" s="16"/>
      <c r="I264" s="16"/>
    </row>
    <row r="265">
      <c r="E265" s="13"/>
      <c r="H265" s="16"/>
      <c r="I265" s="16"/>
    </row>
    <row r="266">
      <c r="E266" s="13"/>
      <c r="H266" s="16"/>
      <c r="I266" s="16"/>
    </row>
    <row r="267">
      <c r="E267" s="13"/>
      <c r="H267" s="16"/>
      <c r="I267" s="16"/>
    </row>
    <row r="268">
      <c r="E268" s="13"/>
      <c r="H268" s="16"/>
      <c r="I268" s="16"/>
    </row>
    <row r="269">
      <c r="E269" s="13"/>
      <c r="H269" s="16"/>
      <c r="I269" s="16"/>
    </row>
    <row r="270">
      <c r="E270" s="13"/>
      <c r="H270" s="16"/>
      <c r="I270" s="16"/>
    </row>
    <row r="271">
      <c r="E271" s="13"/>
      <c r="H271" s="16"/>
      <c r="I271" s="16"/>
    </row>
    <row r="272">
      <c r="E272" s="13"/>
      <c r="H272" s="16"/>
      <c r="I272" s="16"/>
    </row>
    <row r="273">
      <c r="E273" s="13"/>
      <c r="H273" s="16"/>
      <c r="I273" s="16"/>
    </row>
    <row r="274">
      <c r="E274" s="13"/>
      <c r="H274" s="16"/>
      <c r="I274" s="16"/>
    </row>
    <row r="275">
      <c r="E275" s="13"/>
      <c r="H275" s="16"/>
      <c r="I275" s="16"/>
    </row>
    <row r="276">
      <c r="E276" s="13"/>
      <c r="H276" s="16"/>
      <c r="I276" s="16"/>
    </row>
    <row r="277">
      <c r="E277" s="13"/>
      <c r="H277" s="16"/>
      <c r="I277" s="16"/>
    </row>
    <row r="278">
      <c r="E278" s="13"/>
      <c r="H278" s="16"/>
      <c r="I278" s="16"/>
    </row>
    <row r="279">
      <c r="E279" s="13"/>
      <c r="H279" s="16"/>
      <c r="I279" s="16"/>
    </row>
    <row r="280">
      <c r="E280" s="13"/>
      <c r="H280" s="16"/>
      <c r="I280" s="16"/>
    </row>
    <row r="281">
      <c r="E281" s="13"/>
      <c r="H281" s="16"/>
      <c r="I281" s="16"/>
    </row>
    <row r="282">
      <c r="E282" s="13"/>
      <c r="H282" s="16"/>
      <c r="I282" s="16"/>
    </row>
    <row r="283">
      <c r="E283" s="13"/>
      <c r="H283" s="16"/>
      <c r="I283" s="16"/>
    </row>
    <row r="284">
      <c r="E284" s="13"/>
      <c r="H284" s="16"/>
      <c r="I284" s="16"/>
    </row>
    <row r="285">
      <c r="E285" s="13"/>
      <c r="H285" s="16"/>
      <c r="I285" s="16"/>
    </row>
    <row r="286">
      <c r="E286" s="13"/>
      <c r="H286" s="16"/>
      <c r="I286" s="16"/>
    </row>
    <row r="287">
      <c r="E287" s="13"/>
      <c r="H287" s="16"/>
      <c r="I287" s="16"/>
    </row>
    <row r="288">
      <c r="E288" s="13"/>
      <c r="H288" s="16"/>
      <c r="I288" s="16"/>
    </row>
    <row r="289">
      <c r="E289" s="13"/>
      <c r="H289" s="16"/>
      <c r="I289" s="16"/>
    </row>
    <row r="290">
      <c r="E290" s="13"/>
      <c r="H290" s="16"/>
      <c r="I290" s="16"/>
    </row>
    <row r="291">
      <c r="E291" s="13"/>
      <c r="H291" s="16"/>
      <c r="I291" s="16"/>
    </row>
    <row r="292">
      <c r="E292" s="13"/>
      <c r="H292" s="16"/>
      <c r="I292" s="16"/>
    </row>
    <row r="293">
      <c r="E293" s="13"/>
      <c r="H293" s="16"/>
      <c r="I293" s="16"/>
    </row>
    <row r="294">
      <c r="E294" s="13"/>
      <c r="H294" s="16"/>
      <c r="I294" s="16"/>
    </row>
    <row r="295">
      <c r="E295" s="13"/>
      <c r="H295" s="16"/>
      <c r="I295" s="16"/>
    </row>
    <row r="296">
      <c r="E296" s="13"/>
      <c r="H296" s="16"/>
      <c r="I296" s="16"/>
    </row>
    <row r="297">
      <c r="E297" s="13"/>
      <c r="H297" s="16"/>
      <c r="I297" s="16"/>
    </row>
    <row r="298">
      <c r="E298" s="13"/>
      <c r="H298" s="16"/>
      <c r="I298" s="16"/>
    </row>
    <row r="299">
      <c r="E299" s="13"/>
      <c r="H299" s="16"/>
      <c r="I299" s="16"/>
    </row>
    <row r="300">
      <c r="E300" s="13"/>
      <c r="H300" s="16"/>
      <c r="I300" s="16"/>
    </row>
    <row r="301">
      <c r="E301" s="13"/>
      <c r="H301" s="16"/>
      <c r="I301" s="16"/>
    </row>
    <row r="302">
      <c r="E302" s="13"/>
      <c r="H302" s="16"/>
      <c r="I302" s="16"/>
    </row>
    <row r="303">
      <c r="E303" s="13"/>
      <c r="H303" s="16"/>
      <c r="I303" s="16"/>
    </row>
    <row r="304">
      <c r="E304" s="13"/>
      <c r="H304" s="16"/>
      <c r="I304" s="16"/>
    </row>
    <row r="305">
      <c r="E305" s="13"/>
      <c r="H305" s="16"/>
      <c r="I305" s="16"/>
    </row>
    <row r="306">
      <c r="E306" s="13"/>
      <c r="H306" s="16"/>
      <c r="I306" s="16"/>
    </row>
    <row r="307">
      <c r="E307" s="13"/>
      <c r="H307" s="16"/>
      <c r="I307" s="16"/>
    </row>
    <row r="308">
      <c r="E308" s="13"/>
      <c r="H308" s="16"/>
      <c r="I308" s="16"/>
    </row>
    <row r="309">
      <c r="E309" s="13"/>
      <c r="H309" s="16"/>
      <c r="I309" s="16"/>
    </row>
    <row r="310">
      <c r="E310" s="13"/>
      <c r="H310" s="16"/>
      <c r="I310" s="16"/>
    </row>
    <row r="311">
      <c r="E311" s="13"/>
      <c r="H311" s="16"/>
      <c r="I311" s="16"/>
    </row>
    <row r="312">
      <c r="E312" s="13"/>
      <c r="H312" s="16"/>
      <c r="I312" s="16"/>
    </row>
    <row r="313">
      <c r="E313" s="13"/>
      <c r="H313" s="16"/>
      <c r="I313" s="16"/>
    </row>
    <row r="314">
      <c r="E314" s="13"/>
      <c r="H314" s="16"/>
      <c r="I314" s="16"/>
    </row>
    <row r="315">
      <c r="E315" s="13"/>
      <c r="H315" s="16"/>
      <c r="I315" s="16"/>
    </row>
    <row r="316">
      <c r="E316" s="13"/>
      <c r="H316" s="16"/>
      <c r="I316" s="16"/>
    </row>
    <row r="317">
      <c r="E317" s="13"/>
      <c r="H317" s="16"/>
      <c r="I317" s="16"/>
    </row>
    <row r="318">
      <c r="E318" s="13"/>
      <c r="H318" s="16"/>
      <c r="I318" s="16"/>
    </row>
    <row r="319">
      <c r="E319" s="13"/>
      <c r="H319" s="16"/>
      <c r="I319" s="16"/>
    </row>
    <row r="320">
      <c r="E320" s="13"/>
      <c r="H320" s="16"/>
      <c r="I320" s="16"/>
    </row>
    <row r="321">
      <c r="E321" s="13"/>
      <c r="H321" s="16"/>
      <c r="I321" s="16"/>
    </row>
    <row r="322">
      <c r="E322" s="13"/>
      <c r="H322" s="16"/>
      <c r="I322" s="16"/>
    </row>
    <row r="323">
      <c r="E323" s="13"/>
      <c r="H323" s="16"/>
      <c r="I323" s="16"/>
    </row>
    <row r="324">
      <c r="E324" s="13"/>
      <c r="H324" s="16"/>
      <c r="I324" s="16"/>
    </row>
    <row r="325">
      <c r="E325" s="13"/>
      <c r="H325" s="16"/>
      <c r="I325" s="16"/>
    </row>
    <row r="326">
      <c r="E326" s="13"/>
      <c r="H326" s="16"/>
      <c r="I326" s="16"/>
    </row>
    <row r="327">
      <c r="E327" s="13"/>
      <c r="H327" s="16"/>
      <c r="I327" s="16"/>
    </row>
    <row r="328">
      <c r="E328" s="13"/>
      <c r="H328" s="16"/>
      <c r="I328" s="16"/>
    </row>
    <row r="329">
      <c r="E329" s="13"/>
      <c r="H329" s="16"/>
      <c r="I329" s="16"/>
    </row>
    <row r="330">
      <c r="E330" s="13"/>
      <c r="H330" s="16"/>
      <c r="I330" s="16"/>
    </row>
    <row r="331">
      <c r="E331" s="13"/>
      <c r="H331" s="16"/>
      <c r="I331" s="16"/>
    </row>
    <row r="332">
      <c r="E332" s="13"/>
      <c r="H332" s="16"/>
      <c r="I332" s="16"/>
    </row>
    <row r="333">
      <c r="E333" s="13"/>
      <c r="H333" s="16"/>
      <c r="I333" s="16"/>
    </row>
    <row r="334">
      <c r="E334" s="13"/>
      <c r="H334" s="16"/>
      <c r="I334" s="16"/>
    </row>
    <row r="335">
      <c r="E335" s="13"/>
      <c r="H335" s="16"/>
      <c r="I335" s="16"/>
    </row>
    <row r="336">
      <c r="E336" s="13"/>
      <c r="H336" s="16"/>
      <c r="I336" s="16"/>
    </row>
    <row r="337">
      <c r="E337" s="13"/>
      <c r="H337" s="16"/>
      <c r="I337" s="16"/>
    </row>
    <row r="338">
      <c r="E338" s="13"/>
      <c r="H338" s="16"/>
      <c r="I338" s="16"/>
    </row>
    <row r="339">
      <c r="E339" s="13"/>
      <c r="H339" s="16"/>
      <c r="I339" s="16"/>
    </row>
    <row r="340">
      <c r="E340" s="13"/>
      <c r="H340" s="16"/>
      <c r="I340" s="16"/>
    </row>
    <row r="341">
      <c r="E341" s="13"/>
      <c r="H341" s="16"/>
      <c r="I341" s="16"/>
    </row>
    <row r="342">
      <c r="E342" s="13"/>
      <c r="H342" s="16"/>
      <c r="I342" s="16"/>
    </row>
    <row r="343">
      <c r="E343" s="13"/>
      <c r="H343" s="16"/>
      <c r="I343" s="16"/>
    </row>
    <row r="344">
      <c r="E344" s="13"/>
      <c r="H344" s="16"/>
      <c r="I344" s="16"/>
    </row>
    <row r="345">
      <c r="E345" s="13"/>
      <c r="H345" s="16"/>
      <c r="I345" s="16"/>
    </row>
    <row r="346">
      <c r="E346" s="13"/>
      <c r="H346" s="16"/>
      <c r="I346" s="16"/>
    </row>
    <row r="347">
      <c r="E347" s="13"/>
      <c r="H347" s="16"/>
      <c r="I347" s="16"/>
    </row>
    <row r="348">
      <c r="E348" s="13"/>
      <c r="H348" s="16"/>
      <c r="I348" s="16"/>
    </row>
    <row r="349">
      <c r="E349" s="13"/>
      <c r="H349" s="16"/>
      <c r="I349" s="16"/>
    </row>
    <row r="350">
      <c r="E350" s="13"/>
      <c r="H350" s="16"/>
      <c r="I350" s="16"/>
    </row>
    <row r="351">
      <c r="E351" s="13"/>
      <c r="H351" s="16"/>
      <c r="I351" s="16"/>
    </row>
    <row r="352">
      <c r="E352" s="13"/>
      <c r="H352" s="16"/>
      <c r="I352" s="16"/>
    </row>
    <row r="353">
      <c r="E353" s="13"/>
      <c r="H353" s="16"/>
      <c r="I353" s="16"/>
    </row>
    <row r="354">
      <c r="E354" s="13"/>
      <c r="H354" s="16"/>
      <c r="I354" s="16"/>
    </row>
    <row r="355">
      <c r="E355" s="13"/>
      <c r="H355" s="16"/>
      <c r="I355" s="16"/>
    </row>
    <row r="356">
      <c r="E356" s="13"/>
      <c r="H356" s="16"/>
      <c r="I356" s="16"/>
    </row>
    <row r="357">
      <c r="E357" s="13"/>
      <c r="H357" s="16"/>
      <c r="I357" s="16"/>
    </row>
    <row r="358">
      <c r="E358" s="13"/>
      <c r="H358" s="16"/>
      <c r="I358" s="16"/>
    </row>
    <row r="359">
      <c r="E359" s="13"/>
      <c r="H359" s="16"/>
      <c r="I359" s="16"/>
    </row>
    <row r="360">
      <c r="E360" s="13"/>
      <c r="H360" s="16"/>
      <c r="I360" s="16"/>
    </row>
    <row r="361">
      <c r="E361" s="13"/>
      <c r="H361" s="16"/>
      <c r="I361" s="16"/>
    </row>
    <row r="362">
      <c r="E362" s="13"/>
      <c r="H362" s="16"/>
      <c r="I362" s="16"/>
    </row>
    <row r="363">
      <c r="E363" s="13"/>
      <c r="H363" s="16"/>
      <c r="I363" s="16"/>
    </row>
    <row r="364">
      <c r="E364" s="13"/>
      <c r="H364" s="16"/>
      <c r="I364" s="16"/>
    </row>
    <row r="365">
      <c r="E365" s="13"/>
      <c r="H365" s="16"/>
      <c r="I365" s="16"/>
    </row>
    <row r="366">
      <c r="E366" s="13"/>
      <c r="H366" s="16"/>
      <c r="I366" s="16"/>
    </row>
    <row r="367">
      <c r="E367" s="13"/>
      <c r="H367" s="16"/>
      <c r="I367" s="16"/>
    </row>
    <row r="368">
      <c r="E368" s="13"/>
      <c r="H368" s="16"/>
      <c r="I368" s="16"/>
    </row>
    <row r="369">
      <c r="E369" s="13"/>
      <c r="H369" s="16"/>
      <c r="I369" s="16"/>
    </row>
    <row r="370">
      <c r="E370" s="13"/>
      <c r="H370" s="16"/>
      <c r="I370" s="16"/>
    </row>
    <row r="371">
      <c r="E371" s="13"/>
      <c r="H371" s="16"/>
      <c r="I371" s="16"/>
    </row>
    <row r="372">
      <c r="E372" s="13"/>
      <c r="H372" s="16"/>
      <c r="I372" s="16"/>
    </row>
    <row r="373">
      <c r="E373" s="13"/>
      <c r="H373" s="16"/>
      <c r="I373" s="16"/>
    </row>
    <row r="374">
      <c r="E374" s="13"/>
      <c r="H374" s="16"/>
      <c r="I374" s="16"/>
    </row>
    <row r="375">
      <c r="E375" s="13"/>
      <c r="H375" s="16"/>
      <c r="I375" s="16"/>
    </row>
    <row r="376">
      <c r="E376" s="13"/>
      <c r="H376" s="16"/>
      <c r="I376" s="16"/>
    </row>
    <row r="377">
      <c r="E377" s="13"/>
      <c r="H377" s="16"/>
      <c r="I377" s="16"/>
    </row>
    <row r="378">
      <c r="E378" s="13"/>
      <c r="H378" s="16"/>
      <c r="I378" s="16"/>
    </row>
    <row r="379">
      <c r="E379" s="13"/>
      <c r="H379" s="16"/>
      <c r="I379" s="16"/>
    </row>
    <row r="380">
      <c r="E380" s="13"/>
      <c r="H380" s="16"/>
      <c r="I380" s="16"/>
    </row>
    <row r="381">
      <c r="E381" s="13"/>
      <c r="H381" s="16"/>
      <c r="I381" s="16"/>
    </row>
    <row r="382">
      <c r="E382" s="13"/>
      <c r="H382" s="16"/>
      <c r="I382" s="16"/>
    </row>
    <row r="383">
      <c r="E383" s="13"/>
      <c r="H383" s="16"/>
      <c r="I383" s="16"/>
    </row>
    <row r="384">
      <c r="E384" s="13"/>
      <c r="H384" s="16"/>
      <c r="I384" s="16"/>
    </row>
    <row r="385">
      <c r="E385" s="13"/>
      <c r="H385" s="16"/>
      <c r="I385" s="16"/>
    </row>
    <row r="386">
      <c r="E386" s="13"/>
      <c r="H386" s="16"/>
      <c r="I386" s="16"/>
    </row>
    <row r="387">
      <c r="E387" s="13"/>
      <c r="H387" s="16"/>
      <c r="I387" s="16"/>
    </row>
    <row r="388">
      <c r="E388" s="13"/>
      <c r="H388" s="16"/>
      <c r="I388" s="16"/>
    </row>
    <row r="389">
      <c r="E389" s="13"/>
      <c r="H389" s="16"/>
      <c r="I389" s="16"/>
    </row>
    <row r="390">
      <c r="E390" s="13"/>
      <c r="H390" s="16"/>
      <c r="I390" s="16"/>
    </row>
    <row r="391">
      <c r="E391" s="13"/>
      <c r="H391" s="16"/>
      <c r="I391" s="16"/>
    </row>
    <row r="392">
      <c r="E392" s="13"/>
      <c r="H392" s="16"/>
      <c r="I392" s="16"/>
    </row>
    <row r="393">
      <c r="E393" s="13"/>
      <c r="H393" s="16"/>
      <c r="I393" s="16"/>
    </row>
    <row r="394">
      <c r="E394" s="13"/>
      <c r="H394" s="16"/>
      <c r="I394" s="16"/>
    </row>
    <row r="395">
      <c r="E395" s="13"/>
      <c r="H395" s="16"/>
      <c r="I395" s="16"/>
    </row>
    <row r="396">
      <c r="E396" s="13"/>
      <c r="H396" s="16"/>
      <c r="I396" s="16"/>
    </row>
    <row r="397">
      <c r="E397" s="13"/>
      <c r="H397" s="16"/>
      <c r="I397" s="16"/>
    </row>
    <row r="398">
      <c r="E398" s="13"/>
      <c r="H398" s="16"/>
      <c r="I398" s="16"/>
    </row>
    <row r="399">
      <c r="E399" s="13"/>
      <c r="H399" s="16"/>
      <c r="I399" s="16"/>
    </row>
    <row r="400">
      <c r="E400" s="13"/>
      <c r="H400" s="16"/>
      <c r="I400" s="16"/>
    </row>
    <row r="401">
      <c r="E401" s="13"/>
      <c r="H401" s="16"/>
      <c r="I401" s="16"/>
    </row>
    <row r="402">
      <c r="E402" s="13"/>
      <c r="H402" s="16"/>
      <c r="I402" s="16"/>
    </row>
    <row r="403">
      <c r="E403" s="13"/>
      <c r="H403" s="16"/>
      <c r="I403" s="16"/>
    </row>
    <row r="404">
      <c r="E404" s="13"/>
      <c r="H404" s="16"/>
      <c r="I404" s="16"/>
    </row>
    <row r="405">
      <c r="E405" s="13"/>
      <c r="H405" s="16"/>
      <c r="I405" s="16"/>
    </row>
    <row r="406">
      <c r="E406" s="13"/>
      <c r="H406" s="16"/>
      <c r="I406" s="16"/>
    </row>
    <row r="407">
      <c r="E407" s="13"/>
      <c r="H407" s="16"/>
      <c r="I407" s="16"/>
    </row>
    <row r="408">
      <c r="E408" s="13"/>
      <c r="H408" s="16"/>
      <c r="I408" s="16"/>
    </row>
    <row r="409">
      <c r="E409" s="13"/>
      <c r="H409" s="16"/>
      <c r="I409" s="16"/>
    </row>
    <row r="410">
      <c r="E410" s="13"/>
      <c r="H410" s="16"/>
      <c r="I410" s="16"/>
    </row>
    <row r="411">
      <c r="E411" s="13"/>
      <c r="H411" s="16"/>
      <c r="I411" s="16"/>
    </row>
    <row r="412">
      <c r="E412" s="13"/>
      <c r="H412" s="16"/>
      <c r="I412" s="16"/>
    </row>
    <row r="413">
      <c r="E413" s="13"/>
      <c r="H413" s="16"/>
      <c r="I413" s="16"/>
    </row>
    <row r="414">
      <c r="E414" s="13"/>
      <c r="H414" s="16"/>
      <c r="I414" s="16"/>
    </row>
    <row r="415">
      <c r="E415" s="13"/>
      <c r="H415" s="16"/>
      <c r="I415" s="16"/>
    </row>
    <row r="416">
      <c r="E416" s="13"/>
      <c r="H416" s="16"/>
      <c r="I416" s="16"/>
    </row>
    <row r="417">
      <c r="E417" s="13"/>
      <c r="H417" s="16"/>
      <c r="I417" s="16"/>
    </row>
    <row r="418">
      <c r="E418" s="13"/>
      <c r="H418" s="16"/>
      <c r="I418" s="16"/>
    </row>
    <row r="419">
      <c r="E419" s="13"/>
      <c r="H419" s="16"/>
      <c r="I419" s="16"/>
    </row>
    <row r="420">
      <c r="E420" s="13"/>
      <c r="H420" s="16"/>
      <c r="I420" s="16"/>
    </row>
    <row r="421">
      <c r="E421" s="13"/>
      <c r="H421" s="16"/>
      <c r="I421" s="16"/>
    </row>
    <row r="422">
      <c r="E422" s="13"/>
      <c r="H422" s="16"/>
      <c r="I422" s="16"/>
    </row>
    <row r="423">
      <c r="E423" s="13"/>
      <c r="H423" s="16"/>
      <c r="I423" s="16"/>
    </row>
    <row r="424">
      <c r="E424" s="13"/>
      <c r="H424" s="16"/>
      <c r="I424" s="16"/>
    </row>
    <row r="425">
      <c r="E425" s="13"/>
      <c r="H425" s="16"/>
      <c r="I425" s="16"/>
    </row>
    <row r="426">
      <c r="E426" s="13"/>
      <c r="H426" s="16"/>
      <c r="I426" s="16"/>
    </row>
    <row r="427">
      <c r="E427" s="13"/>
      <c r="H427" s="16"/>
      <c r="I427" s="16"/>
    </row>
    <row r="428">
      <c r="E428" s="13"/>
      <c r="H428" s="16"/>
      <c r="I428" s="16"/>
    </row>
    <row r="429">
      <c r="E429" s="13"/>
      <c r="H429" s="16"/>
      <c r="I429" s="16"/>
    </row>
    <row r="430">
      <c r="E430" s="13"/>
      <c r="H430" s="16"/>
      <c r="I430" s="16"/>
    </row>
    <row r="431">
      <c r="E431" s="13"/>
      <c r="H431" s="16"/>
      <c r="I431" s="16"/>
    </row>
    <row r="432">
      <c r="E432" s="13"/>
      <c r="H432" s="16"/>
      <c r="I432" s="16"/>
    </row>
    <row r="433">
      <c r="E433" s="13"/>
      <c r="H433" s="16"/>
      <c r="I433" s="16"/>
    </row>
    <row r="434">
      <c r="E434" s="13"/>
      <c r="H434" s="16"/>
      <c r="I434" s="16"/>
    </row>
    <row r="435">
      <c r="E435" s="13"/>
      <c r="H435" s="16"/>
      <c r="I435" s="16"/>
    </row>
    <row r="436">
      <c r="E436" s="13"/>
      <c r="H436" s="16"/>
      <c r="I436" s="16"/>
    </row>
    <row r="437">
      <c r="E437" s="13"/>
      <c r="H437" s="16"/>
      <c r="I437" s="16"/>
    </row>
    <row r="438">
      <c r="E438" s="13"/>
      <c r="H438" s="16"/>
      <c r="I438" s="16"/>
    </row>
    <row r="439">
      <c r="E439" s="13"/>
      <c r="H439" s="16"/>
      <c r="I439" s="16"/>
    </row>
    <row r="440">
      <c r="E440" s="13"/>
      <c r="H440" s="16"/>
      <c r="I440" s="16"/>
    </row>
    <row r="441">
      <c r="E441" s="13"/>
      <c r="H441" s="16"/>
      <c r="I441" s="16"/>
    </row>
    <row r="442">
      <c r="E442" s="13"/>
      <c r="H442" s="16"/>
      <c r="I442" s="16"/>
    </row>
    <row r="443">
      <c r="E443" s="13"/>
      <c r="H443" s="16"/>
      <c r="I443" s="16"/>
    </row>
    <row r="444">
      <c r="E444" s="13"/>
      <c r="H444" s="16"/>
      <c r="I444" s="16"/>
    </row>
    <row r="445">
      <c r="E445" s="13"/>
      <c r="H445" s="16"/>
      <c r="I445" s="16"/>
    </row>
    <row r="446">
      <c r="E446" s="13"/>
      <c r="H446" s="16"/>
      <c r="I446" s="16"/>
    </row>
    <row r="447">
      <c r="E447" s="13"/>
      <c r="H447" s="16"/>
      <c r="I447" s="16"/>
    </row>
    <row r="448">
      <c r="E448" s="13"/>
      <c r="H448" s="16"/>
      <c r="I448" s="16"/>
    </row>
    <row r="449">
      <c r="E449" s="13"/>
      <c r="H449" s="16"/>
      <c r="I449" s="16"/>
    </row>
    <row r="450">
      <c r="E450" s="13"/>
      <c r="H450" s="16"/>
      <c r="I450" s="16"/>
    </row>
    <row r="451">
      <c r="E451" s="13"/>
      <c r="H451" s="16"/>
      <c r="I451" s="16"/>
    </row>
    <row r="452">
      <c r="E452" s="13"/>
      <c r="H452" s="16"/>
      <c r="I452" s="16"/>
    </row>
    <row r="453">
      <c r="E453" s="13"/>
      <c r="H453" s="16"/>
      <c r="I453" s="16"/>
    </row>
    <row r="454">
      <c r="E454" s="13"/>
      <c r="H454" s="16"/>
      <c r="I454" s="16"/>
    </row>
    <row r="455">
      <c r="E455" s="13"/>
      <c r="H455" s="16"/>
      <c r="I455" s="16"/>
    </row>
    <row r="456">
      <c r="E456" s="13"/>
      <c r="H456" s="16"/>
      <c r="I456" s="16"/>
    </row>
    <row r="457">
      <c r="E457" s="13"/>
      <c r="H457" s="16"/>
      <c r="I457" s="16"/>
    </row>
    <row r="458">
      <c r="E458" s="13"/>
      <c r="H458" s="16"/>
      <c r="I458" s="16"/>
    </row>
    <row r="459">
      <c r="E459" s="13"/>
      <c r="H459" s="16"/>
      <c r="I459" s="16"/>
    </row>
    <row r="460">
      <c r="E460" s="13"/>
      <c r="H460" s="16"/>
      <c r="I460" s="16"/>
    </row>
    <row r="461">
      <c r="E461" s="13"/>
      <c r="H461" s="16"/>
      <c r="I461" s="16"/>
    </row>
    <row r="462">
      <c r="E462" s="13"/>
      <c r="H462" s="16"/>
      <c r="I462" s="16"/>
    </row>
    <row r="463">
      <c r="E463" s="13"/>
      <c r="H463" s="16"/>
      <c r="I463" s="16"/>
    </row>
    <row r="464">
      <c r="E464" s="13"/>
      <c r="H464" s="16"/>
      <c r="I464" s="16"/>
    </row>
    <row r="465">
      <c r="E465" s="13"/>
      <c r="H465" s="16"/>
      <c r="I465" s="16"/>
    </row>
    <row r="466">
      <c r="E466" s="13"/>
      <c r="H466" s="16"/>
      <c r="I466" s="16"/>
    </row>
    <row r="467">
      <c r="E467" s="13"/>
      <c r="H467" s="16"/>
      <c r="I467" s="16"/>
    </row>
    <row r="468">
      <c r="E468" s="13"/>
      <c r="H468" s="16"/>
      <c r="I468" s="16"/>
    </row>
    <row r="469">
      <c r="E469" s="13"/>
      <c r="H469" s="16"/>
      <c r="I469" s="16"/>
    </row>
    <row r="470">
      <c r="E470" s="13"/>
      <c r="H470" s="16"/>
      <c r="I470" s="16"/>
    </row>
    <row r="471">
      <c r="E471" s="13"/>
      <c r="H471" s="16"/>
      <c r="I471" s="16"/>
    </row>
    <row r="472">
      <c r="E472" s="13"/>
      <c r="H472" s="16"/>
      <c r="I472" s="16"/>
    </row>
    <row r="473">
      <c r="E473" s="13"/>
      <c r="H473" s="16"/>
      <c r="I473" s="16"/>
    </row>
    <row r="474">
      <c r="E474" s="13"/>
      <c r="H474" s="16"/>
      <c r="I474" s="16"/>
    </row>
    <row r="475">
      <c r="E475" s="13"/>
      <c r="H475" s="16"/>
      <c r="I475" s="16"/>
    </row>
    <row r="476">
      <c r="E476" s="13"/>
      <c r="H476" s="16"/>
      <c r="I476" s="16"/>
    </row>
    <row r="477">
      <c r="E477" s="13"/>
      <c r="H477" s="16"/>
      <c r="I477" s="16"/>
    </row>
    <row r="478">
      <c r="E478" s="13"/>
      <c r="H478" s="16"/>
      <c r="I478" s="16"/>
    </row>
    <row r="479">
      <c r="E479" s="13"/>
      <c r="H479" s="16"/>
      <c r="I479" s="16"/>
    </row>
    <row r="480">
      <c r="E480" s="13"/>
      <c r="H480" s="16"/>
      <c r="I480" s="16"/>
    </row>
    <row r="481">
      <c r="E481" s="13"/>
      <c r="H481" s="16"/>
      <c r="I481" s="16"/>
    </row>
    <row r="482">
      <c r="E482" s="13"/>
      <c r="H482" s="16"/>
      <c r="I482" s="16"/>
    </row>
    <row r="483">
      <c r="E483" s="13"/>
      <c r="H483" s="16"/>
      <c r="I483" s="16"/>
    </row>
    <row r="484">
      <c r="E484" s="13"/>
      <c r="H484" s="16"/>
      <c r="I484" s="16"/>
    </row>
    <row r="485">
      <c r="E485" s="13"/>
      <c r="H485" s="16"/>
      <c r="I485" s="16"/>
    </row>
    <row r="486">
      <c r="E486" s="13"/>
      <c r="H486" s="16"/>
      <c r="I486" s="16"/>
    </row>
    <row r="487">
      <c r="E487" s="13"/>
      <c r="H487" s="16"/>
      <c r="I487" s="16"/>
    </row>
    <row r="488">
      <c r="E488" s="13"/>
      <c r="H488" s="16"/>
      <c r="I488" s="16"/>
    </row>
    <row r="489">
      <c r="E489" s="13"/>
      <c r="H489" s="16"/>
      <c r="I489" s="16"/>
    </row>
    <row r="490">
      <c r="E490" s="13"/>
      <c r="H490" s="16"/>
      <c r="I490" s="16"/>
    </row>
    <row r="491">
      <c r="E491" s="13"/>
      <c r="H491" s="16"/>
      <c r="I491" s="16"/>
    </row>
    <row r="492">
      <c r="E492" s="13"/>
      <c r="H492" s="16"/>
      <c r="I492" s="16"/>
    </row>
    <row r="493">
      <c r="E493" s="13"/>
      <c r="H493" s="16"/>
      <c r="I493" s="16"/>
    </row>
    <row r="494">
      <c r="E494" s="13"/>
      <c r="H494" s="16"/>
      <c r="I494" s="16"/>
    </row>
    <row r="495">
      <c r="E495" s="13"/>
      <c r="H495" s="16"/>
      <c r="I495" s="16"/>
    </row>
    <row r="496">
      <c r="E496" s="13"/>
      <c r="H496" s="16"/>
      <c r="I496" s="16"/>
    </row>
    <row r="497">
      <c r="E497" s="13"/>
      <c r="H497" s="16"/>
      <c r="I497" s="16"/>
    </row>
    <row r="498">
      <c r="E498" s="13"/>
      <c r="H498" s="16"/>
      <c r="I498" s="16"/>
    </row>
    <row r="499">
      <c r="E499" s="13"/>
      <c r="H499" s="16"/>
      <c r="I499" s="16"/>
    </row>
    <row r="500">
      <c r="E500" s="13"/>
      <c r="H500" s="16"/>
      <c r="I500" s="16"/>
    </row>
    <row r="501">
      <c r="E501" s="13"/>
      <c r="H501" s="16"/>
      <c r="I501" s="16"/>
    </row>
    <row r="502">
      <c r="E502" s="13"/>
      <c r="H502" s="16"/>
      <c r="I502" s="16"/>
    </row>
    <row r="503">
      <c r="E503" s="13"/>
      <c r="H503" s="16"/>
      <c r="I503" s="16"/>
    </row>
    <row r="504">
      <c r="E504" s="13"/>
      <c r="H504" s="16"/>
      <c r="I504" s="16"/>
    </row>
    <row r="505">
      <c r="E505" s="13"/>
      <c r="H505" s="16"/>
      <c r="I505" s="16"/>
    </row>
    <row r="506">
      <c r="E506" s="13"/>
      <c r="H506" s="16"/>
      <c r="I506" s="16"/>
    </row>
    <row r="507">
      <c r="E507" s="13"/>
      <c r="H507" s="16"/>
      <c r="I507" s="16"/>
    </row>
    <row r="508">
      <c r="E508" s="13"/>
      <c r="H508" s="16"/>
      <c r="I508" s="16"/>
    </row>
    <row r="509">
      <c r="E509" s="13"/>
      <c r="H509" s="16"/>
      <c r="I509" s="16"/>
    </row>
    <row r="510">
      <c r="E510" s="13"/>
      <c r="H510" s="16"/>
      <c r="I510" s="16"/>
    </row>
    <row r="511">
      <c r="E511" s="13"/>
      <c r="H511" s="16"/>
      <c r="I511" s="16"/>
    </row>
    <row r="512">
      <c r="E512" s="13"/>
      <c r="H512" s="16"/>
      <c r="I512" s="16"/>
    </row>
    <row r="513">
      <c r="E513" s="13"/>
      <c r="H513" s="16"/>
      <c r="I513" s="16"/>
    </row>
    <row r="514">
      <c r="E514" s="13"/>
      <c r="H514" s="16"/>
      <c r="I514" s="16"/>
    </row>
    <row r="515">
      <c r="E515" s="13"/>
      <c r="H515" s="16"/>
      <c r="I515" s="16"/>
    </row>
    <row r="516">
      <c r="E516" s="13"/>
      <c r="H516" s="16"/>
      <c r="I516" s="16"/>
    </row>
    <row r="517">
      <c r="E517" s="13"/>
      <c r="H517" s="16"/>
      <c r="I517" s="16"/>
    </row>
    <row r="518">
      <c r="E518" s="13"/>
      <c r="H518" s="16"/>
      <c r="I518" s="16"/>
    </row>
    <row r="519">
      <c r="E519" s="13"/>
      <c r="H519" s="16"/>
      <c r="I519" s="16"/>
    </row>
    <row r="520">
      <c r="E520" s="13"/>
      <c r="H520" s="16"/>
      <c r="I520" s="16"/>
    </row>
    <row r="521">
      <c r="E521" s="13"/>
      <c r="H521" s="16"/>
      <c r="I521" s="16"/>
    </row>
    <row r="522">
      <c r="E522" s="13"/>
      <c r="H522" s="16"/>
      <c r="I522" s="16"/>
    </row>
    <row r="523">
      <c r="E523" s="13"/>
      <c r="H523" s="16"/>
      <c r="I523" s="16"/>
    </row>
    <row r="524">
      <c r="E524" s="13"/>
      <c r="H524" s="16"/>
      <c r="I524" s="16"/>
    </row>
    <row r="525">
      <c r="E525" s="13"/>
      <c r="H525" s="16"/>
      <c r="I525" s="16"/>
    </row>
    <row r="526">
      <c r="E526" s="13"/>
      <c r="H526" s="16"/>
      <c r="I526" s="16"/>
    </row>
    <row r="527">
      <c r="E527" s="13"/>
      <c r="H527" s="16"/>
      <c r="I527" s="16"/>
    </row>
    <row r="528">
      <c r="E528" s="13"/>
      <c r="H528" s="16"/>
      <c r="I528" s="16"/>
    </row>
    <row r="529">
      <c r="E529" s="13"/>
      <c r="H529" s="16"/>
      <c r="I529" s="16"/>
    </row>
    <row r="530">
      <c r="E530" s="13"/>
      <c r="H530" s="16"/>
      <c r="I530" s="16"/>
    </row>
    <row r="531">
      <c r="E531" s="13"/>
      <c r="H531" s="16"/>
      <c r="I531" s="16"/>
    </row>
    <row r="532">
      <c r="E532" s="13"/>
      <c r="H532" s="16"/>
      <c r="I532" s="16"/>
    </row>
    <row r="533">
      <c r="E533" s="13"/>
      <c r="H533" s="16"/>
      <c r="I533" s="16"/>
    </row>
    <row r="534">
      <c r="E534" s="13"/>
      <c r="H534" s="16"/>
      <c r="I534" s="16"/>
    </row>
    <row r="535">
      <c r="E535" s="13"/>
      <c r="H535" s="16"/>
      <c r="I535" s="16"/>
    </row>
    <row r="536">
      <c r="E536" s="13"/>
      <c r="H536" s="16"/>
      <c r="I536" s="16"/>
    </row>
    <row r="537">
      <c r="E537" s="13"/>
      <c r="H537" s="16"/>
      <c r="I537" s="16"/>
    </row>
    <row r="538">
      <c r="E538" s="13"/>
      <c r="H538" s="16"/>
      <c r="I538" s="16"/>
    </row>
    <row r="539">
      <c r="E539" s="13"/>
      <c r="H539" s="16"/>
      <c r="I539" s="16"/>
    </row>
    <row r="540">
      <c r="E540" s="13"/>
      <c r="H540" s="16"/>
      <c r="I540" s="16"/>
    </row>
    <row r="541">
      <c r="E541" s="13"/>
      <c r="H541" s="16"/>
      <c r="I541" s="16"/>
    </row>
    <row r="542">
      <c r="E542" s="13"/>
      <c r="H542" s="16"/>
      <c r="I542" s="16"/>
    </row>
    <row r="543">
      <c r="E543" s="13"/>
      <c r="H543" s="16"/>
      <c r="I543" s="16"/>
    </row>
    <row r="544">
      <c r="E544" s="13"/>
      <c r="H544" s="16"/>
      <c r="I544" s="16"/>
    </row>
    <row r="545">
      <c r="E545" s="13"/>
      <c r="H545" s="16"/>
      <c r="I545" s="16"/>
    </row>
    <row r="546">
      <c r="E546" s="13"/>
      <c r="H546" s="16"/>
      <c r="I546" s="16"/>
    </row>
    <row r="547">
      <c r="E547" s="13"/>
      <c r="H547" s="16"/>
      <c r="I547" s="16"/>
    </row>
    <row r="548">
      <c r="E548" s="13"/>
      <c r="H548" s="16"/>
      <c r="I548" s="16"/>
    </row>
    <row r="549">
      <c r="E549" s="13"/>
      <c r="H549" s="16"/>
      <c r="I549" s="16"/>
    </row>
    <row r="550">
      <c r="E550" s="13"/>
      <c r="H550" s="16"/>
      <c r="I550" s="16"/>
    </row>
    <row r="551">
      <c r="E551" s="13"/>
      <c r="H551" s="16"/>
      <c r="I551" s="16"/>
    </row>
    <row r="552">
      <c r="E552" s="13"/>
      <c r="H552" s="16"/>
      <c r="I552" s="16"/>
    </row>
    <row r="553">
      <c r="E553" s="13"/>
      <c r="H553" s="16"/>
      <c r="I553" s="16"/>
    </row>
    <row r="554">
      <c r="E554" s="13"/>
      <c r="H554" s="16"/>
      <c r="I554" s="16"/>
    </row>
    <row r="555">
      <c r="E555" s="13"/>
      <c r="H555" s="16"/>
      <c r="I555" s="16"/>
    </row>
    <row r="556">
      <c r="E556" s="13"/>
      <c r="H556" s="16"/>
      <c r="I556" s="16"/>
    </row>
    <row r="557">
      <c r="E557" s="13"/>
      <c r="H557" s="16"/>
      <c r="I557" s="16"/>
    </row>
    <row r="558">
      <c r="E558" s="13"/>
      <c r="H558" s="16"/>
      <c r="I558" s="16"/>
    </row>
    <row r="559">
      <c r="E559" s="13"/>
      <c r="H559" s="16"/>
      <c r="I559" s="16"/>
    </row>
    <row r="560">
      <c r="E560" s="13"/>
      <c r="H560" s="16"/>
      <c r="I560" s="16"/>
    </row>
    <row r="561">
      <c r="E561" s="13"/>
      <c r="H561" s="16"/>
      <c r="I561" s="16"/>
    </row>
    <row r="562">
      <c r="E562" s="13"/>
      <c r="H562" s="16"/>
      <c r="I562" s="16"/>
    </row>
    <row r="563">
      <c r="E563" s="13"/>
      <c r="H563" s="16"/>
      <c r="I563" s="16"/>
    </row>
    <row r="564">
      <c r="E564" s="13"/>
      <c r="H564" s="16"/>
      <c r="I564" s="16"/>
    </row>
    <row r="565">
      <c r="E565" s="13"/>
      <c r="H565" s="16"/>
      <c r="I565" s="16"/>
    </row>
    <row r="566">
      <c r="E566" s="13"/>
      <c r="H566" s="16"/>
      <c r="I566" s="16"/>
    </row>
    <row r="567">
      <c r="E567" s="13"/>
      <c r="H567" s="16"/>
      <c r="I567" s="16"/>
    </row>
    <row r="568">
      <c r="E568" s="13"/>
      <c r="H568" s="16"/>
      <c r="I568" s="16"/>
    </row>
    <row r="569">
      <c r="E569" s="13"/>
      <c r="H569" s="16"/>
      <c r="I569" s="16"/>
    </row>
    <row r="570">
      <c r="E570" s="13"/>
      <c r="H570" s="16"/>
      <c r="I570" s="16"/>
    </row>
    <row r="571">
      <c r="E571" s="13"/>
      <c r="H571" s="16"/>
      <c r="I571" s="16"/>
    </row>
    <row r="572">
      <c r="E572" s="13"/>
      <c r="H572" s="16"/>
      <c r="I572" s="16"/>
    </row>
    <row r="573">
      <c r="E573" s="13"/>
      <c r="H573" s="16"/>
      <c r="I573" s="16"/>
    </row>
    <row r="574">
      <c r="E574" s="13"/>
      <c r="H574" s="16"/>
      <c r="I574" s="16"/>
    </row>
    <row r="575">
      <c r="E575" s="13"/>
      <c r="H575" s="16"/>
      <c r="I575" s="16"/>
    </row>
    <row r="576">
      <c r="E576" s="13"/>
      <c r="H576" s="16"/>
      <c r="I576" s="16"/>
    </row>
    <row r="577">
      <c r="E577" s="13"/>
      <c r="H577" s="16"/>
      <c r="I577" s="16"/>
    </row>
    <row r="578">
      <c r="E578" s="13"/>
      <c r="H578" s="16"/>
      <c r="I578" s="16"/>
    </row>
    <row r="579">
      <c r="E579" s="13"/>
      <c r="H579" s="16"/>
      <c r="I579" s="16"/>
    </row>
    <row r="580">
      <c r="E580" s="13"/>
      <c r="H580" s="16"/>
      <c r="I580" s="16"/>
    </row>
    <row r="581">
      <c r="E581" s="13"/>
      <c r="H581" s="16"/>
      <c r="I581" s="16"/>
    </row>
    <row r="582">
      <c r="E582" s="13"/>
      <c r="H582" s="16"/>
      <c r="I582" s="16"/>
    </row>
    <row r="583">
      <c r="E583" s="13"/>
      <c r="H583" s="16"/>
      <c r="I583" s="16"/>
    </row>
    <row r="584">
      <c r="E584" s="13"/>
      <c r="H584" s="16"/>
      <c r="I584" s="16"/>
    </row>
    <row r="585">
      <c r="E585" s="13"/>
      <c r="H585" s="16"/>
      <c r="I585" s="16"/>
    </row>
    <row r="586">
      <c r="E586" s="13"/>
      <c r="H586" s="16"/>
      <c r="I586" s="16"/>
    </row>
    <row r="587">
      <c r="E587" s="13"/>
      <c r="H587" s="16"/>
      <c r="I587" s="16"/>
    </row>
    <row r="588">
      <c r="E588" s="13"/>
      <c r="H588" s="16"/>
      <c r="I588" s="16"/>
    </row>
    <row r="589">
      <c r="E589" s="13"/>
      <c r="H589" s="16"/>
      <c r="I589" s="16"/>
    </row>
    <row r="590">
      <c r="E590" s="13"/>
      <c r="H590" s="16"/>
      <c r="I590" s="16"/>
    </row>
    <row r="591">
      <c r="E591" s="13"/>
      <c r="H591" s="16"/>
      <c r="I591" s="16"/>
    </row>
    <row r="592">
      <c r="E592" s="13"/>
      <c r="H592" s="16"/>
      <c r="I592" s="16"/>
    </row>
    <row r="593">
      <c r="E593" s="13"/>
      <c r="H593" s="16"/>
      <c r="I593" s="16"/>
    </row>
    <row r="594">
      <c r="E594" s="13"/>
      <c r="H594" s="16"/>
      <c r="I594" s="16"/>
    </row>
    <row r="595">
      <c r="E595" s="13"/>
      <c r="H595" s="16"/>
      <c r="I595" s="16"/>
    </row>
    <row r="596">
      <c r="E596" s="13"/>
      <c r="H596" s="16"/>
      <c r="I596" s="16"/>
    </row>
    <row r="597">
      <c r="E597" s="13"/>
      <c r="H597" s="16"/>
      <c r="I597" s="16"/>
    </row>
    <row r="598">
      <c r="E598" s="13"/>
      <c r="H598" s="16"/>
      <c r="I598" s="16"/>
    </row>
    <row r="599">
      <c r="E599" s="13"/>
      <c r="H599" s="16"/>
      <c r="I599" s="16"/>
    </row>
    <row r="600">
      <c r="E600" s="13"/>
      <c r="H600" s="16"/>
      <c r="I600" s="16"/>
    </row>
    <row r="601">
      <c r="E601" s="13"/>
      <c r="H601" s="16"/>
      <c r="I601" s="16"/>
    </row>
    <row r="602">
      <c r="E602" s="13"/>
      <c r="H602" s="16"/>
      <c r="I602" s="16"/>
    </row>
    <row r="603">
      <c r="E603" s="13"/>
      <c r="H603" s="16"/>
      <c r="I603" s="16"/>
    </row>
    <row r="604">
      <c r="E604" s="13"/>
      <c r="H604" s="16"/>
      <c r="I604" s="16"/>
    </row>
    <row r="605">
      <c r="E605" s="13"/>
      <c r="H605" s="16"/>
      <c r="I605" s="16"/>
    </row>
    <row r="606">
      <c r="E606" s="13"/>
      <c r="H606" s="16"/>
      <c r="I606" s="16"/>
    </row>
    <row r="607">
      <c r="E607" s="13"/>
      <c r="H607" s="16"/>
      <c r="I607" s="16"/>
    </row>
    <row r="608">
      <c r="E608" s="13"/>
      <c r="H608" s="16"/>
      <c r="I608" s="16"/>
    </row>
    <row r="609">
      <c r="E609" s="13"/>
      <c r="H609" s="16"/>
      <c r="I609" s="16"/>
    </row>
    <row r="610">
      <c r="E610" s="13"/>
      <c r="H610" s="16"/>
      <c r="I610" s="16"/>
    </row>
    <row r="611">
      <c r="E611" s="13"/>
      <c r="H611" s="16"/>
      <c r="I611" s="16"/>
    </row>
    <row r="612">
      <c r="E612" s="13"/>
      <c r="H612" s="16"/>
      <c r="I612" s="16"/>
    </row>
    <row r="613">
      <c r="E613" s="13"/>
      <c r="H613" s="16"/>
      <c r="I613" s="16"/>
    </row>
    <row r="614">
      <c r="E614" s="13"/>
      <c r="H614" s="16"/>
      <c r="I614" s="16"/>
    </row>
    <row r="615">
      <c r="E615" s="13"/>
      <c r="H615" s="16"/>
      <c r="I615" s="16"/>
    </row>
    <row r="616">
      <c r="E616" s="13"/>
      <c r="H616" s="16"/>
      <c r="I616" s="16"/>
    </row>
    <row r="617">
      <c r="E617" s="13"/>
      <c r="H617" s="16"/>
      <c r="I617" s="16"/>
    </row>
    <row r="618">
      <c r="E618" s="13"/>
      <c r="H618" s="16"/>
      <c r="I618" s="16"/>
    </row>
    <row r="619">
      <c r="E619" s="13"/>
      <c r="H619" s="16"/>
      <c r="I619" s="16"/>
    </row>
    <row r="620">
      <c r="E620" s="13"/>
      <c r="H620" s="16"/>
      <c r="I620" s="16"/>
    </row>
    <row r="621">
      <c r="E621" s="13"/>
      <c r="H621" s="16"/>
      <c r="I621" s="16"/>
    </row>
    <row r="622">
      <c r="E622" s="13"/>
      <c r="H622" s="16"/>
      <c r="I622" s="16"/>
    </row>
    <row r="623">
      <c r="E623" s="13"/>
      <c r="H623" s="16"/>
      <c r="I623" s="16"/>
    </row>
    <row r="624">
      <c r="E624" s="13"/>
      <c r="H624" s="16"/>
      <c r="I624" s="16"/>
    </row>
    <row r="625">
      <c r="E625" s="13"/>
      <c r="H625" s="16"/>
      <c r="I625" s="16"/>
    </row>
    <row r="626">
      <c r="E626" s="13"/>
      <c r="H626" s="16"/>
      <c r="I626" s="16"/>
    </row>
    <row r="627">
      <c r="E627" s="13"/>
      <c r="H627" s="16"/>
      <c r="I627" s="16"/>
    </row>
    <row r="628">
      <c r="E628" s="13"/>
      <c r="H628" s="16"/>
      <c r="I628" s="16"/>
    </row>
    <row r="629">
      <c r="E629" s="13"/>
      <c r="H629" s="16"/>
      <c r="I629" s="16"/>
    </row>
    <row r="630">
      <c r="E630" s="13"/>
      <c r="H630" s="16"/>
      <c r="I630" s="16"/>
    </row>
    <row r="631">
      <c r="E631" s="13"/>
      <c r="H631" s="16"/>
      <c r="I631" s="16"/>
    </row>
    <row r="632">
      <c r="E632" s="13"/>
      <c r="H632" s="16"/>
      <c r="I632" s="16"/>
    </row>
    <row r="633">
      <c r="E633" s="13"/>
      <c r="H633" s="16"/>
      <c r="I633" s="16"/>
    </row>
    <row r="634">
      <c r="E634" s="13"/>
      <c r="H634" s="16"/>
      <c r="I634" s="16"/>
    </row>
    <row r="635">
      <c r="E635" s="13"/>
      <c r="H635" s="16"/>
      <c r="I635" s="16"/>
    </row>
    <row r="636">
      <c r="E636" s="13"/>
      <c r="H636" s="16"/>
      <c r="I636" s="16"/>
    </row>
    <row r="637">
      <c r="E637" s="13"/>
      <c r="H637" s="16"/>
      <c r="I637" s="16"/>
    </row>
    <row r="638">
      <c r="E638" s="13"/>
      <c r="H638" s="16"/>
      <c r="I638" s="16"/>
    </row>
    <row r="639">
      <c r="E639" s="13"/>
      <c r="H639" s="16"/>
      <c r="I639" s="16"/>
    </row>
    <row r="640">
      <c r="E640" s="13"/>
      <c r="H640" s="16"/>
      <c r="I640" s="16"/>
    </row>
    <row r="641">
      <c r="E641" s="13"/>
      <c r="H641" s="16"/>
      <c r="I641" s="16"/>
    </row>
    <row r="642">
      <c r="E642" s="13"/>
      <c r="H642" s="16"/>
      <c r="I642" s="16"/>
    </row>
    <row r="643">
      <c r="E643" s="13"/>
      <c r="H643" s="16"/>
      <c r="I643" s="16"/>
    </row>
    <row r="644">
      <c r="E644" s="13"/>
      <c r="H644" s="16"/>
      <c r="I644" s="16"/>
    </row>
    <row r="645">
      <c r="E645" s="13"/>
      <c r="H645" s="16"/>
      <c r="I645" s="16"/>
    </row>
    <row r="646">
      <c r="E646" s="13"/>
      <c r="H646" s="16"/>
      <c r="I646" s="16"/>
    </row>
    <row r="647">
      <c r="E647" s="13"/>
      <c r="H647" s="16"/>
      <c r="I647" s="16"/>
    </row>
    <row r="648">
      <c r="E648" s="13"/>
      <c r="H648" s="16"/>
      <c r="I648" s="16"/>
    </row>
    <row r="649">
      <c r="E649" s="13"/>
      <c r="H649" s="16"/>
      <c r="I649" s="16"/>
    </row>
    <row r="650">
      <c r="E650" s="13"/>
      <c r="H650" s="16"/>
      <c r="I650" s="16"/>
    </row>
    <row r="651">
      <c r="E651" s="13"/>
      <c r="H651" s="16"/>
      <c r="I651" s="16"/>
    </row>
    <row r="652">
      <c r="E652" s="13"/>
      <c r="H652" s="16"/>
      <c r="I652" s="16"/>
    </row>
    <row r="653">
      <c r="E653" s="13"/>
      <c r="H653" s="16"/>
      <c r="I653" s="16"/>
    </row>
    <row r="654">
      <c r="E654" s="13"/>
      <c r="H654" s="16"/>
      <c r="I654" s="16"/>
    </row>
    <row r="655">
      <c r="E655" s="13"/>
      <c r="H655" s="16"/>
      <c r="I655" s="16"/>
    </row>
    <row r="656">
      <c r="E656" s="13"/>
      <c r="H656" s="16"/>
      <c r="I656" s="16"/>
    </row>
    <row r="657">
      <c r="E657" s="13"/>
      <c r="H657" s="16"/>
      <c r="I657" s="16"/>
    </row>
    <row r="658">
      <c r="E658" s="13"/>
      <c r="H658" s="16"/>
      <c r="I658" s="16"/>
    </row>
    <row r="659">
      <c r="E659" s="13"/>
      <c r="H659" s="16"/>
      <c r="I659" s="16"/>
    </row>
    <row r="660">
      <c r="E660" s="13"/>
      <c r="H660" s="16"/>
      <c r="I660" s="16"/>
    </row>
    <row r="661">
      <c r="E661" s="13"/>
      <c r="H661" s="16"/>
      <c r="I661" s="16"/>
    </row>
    <row r="662">
      <c r="E662" s="13"/>
      <c r="H662" s="16"/>
      <c r="I662" s="16"/>
    </row>
    <row r="663">
      <c r="E663" s="13"/>
      <c r="H663" s="16"/>
      <c r="I663" s="16"/>
    </row>
    <row r="664">
      <c r="E664" s="13"/>
      <c r="H664" s="16"/>
      <c r="I664" s="16"/>
    </row>
    <row r="665">
      <c r="E665" s="13"/>
      <c r="H665" s="16"/>
      <c r="I665" s="16"/>
    </row>
    <row r="666">
      <c r="E666" s="13"/>
      <c r="H666" s="16"/>
      <c r="I666" s="16"/>
    </row>
    <row r="667">
      <c r="E667" s="13"/>
      <c r="H667" s="16"/>
      <c r="I667" s="16"/>
    </row>
    <row r="668">
      <c r="E668" s="13"/>
      <c r="H668" s="16"/>
      <c r="I668" s="16"/>
    </row>
    <row r="669">
      <c r="E669" s="13"/>
      <c r="H669" s="16"/>
      <c r="I669" s="16"/>
    </row>
    <row r="670">
      <c r="E670" s="13"/>
      <c r="H670" s="16"/>
      <c r="I670" s="16"/>
    </row>
    <row r="671">
      <c r="E671" s="13"/>
      <c r="H671" s="16"/>
      <c r="I671" s="16"/>
    </row>
    <row r="672">
      <c r="E672" s="13"/>
      <c r="H672" s="16"/>
      <c r="I672" s="16"/>
    </row>
    <row r="673">
      <c r="E673" s="13"/>
      <c r="H673" s="16"/>
      <c r="I673" s="16"/>
    </row>
    <row r="674">
      <c r="E674" s="13"/>
      <c r="H674" s="16"/>
      <c r="I674" s="16"/>
    </row>
    <row r="675">
      <c r="E675" s="13"/>
      <c r="H675" s="16"/>
      <c r="I675" s="16"/>
    </row>
    <row r="676">
      <c r="E676" s="13"/>
      <c r="H676" s="16"/>
      <c r="I676" s="16"/>
    </row>
    <row r="677">
      <c r="E677" s="13"/>
      <c r="H677" s="16"/>
      <c r="I677" s="16"/>
    </row>
    <row r="678">
      <c r="E678" s="13"/>
      <c r="H678" s="16"/>
      <c r="I678" s="16"/>
    </row>
    <row r="679">
      <c r="E679" s="13"/>
      <c r="H679" s="16"/>
      <c r="I679" s="16"/>
    </row>
    <row r="680">
      <c r="E680" s="13"/>
      <c r="H680" s="16"/>
      <c r="I680" s="16"/>
    </row>
    <row r="681">
      <c r="E681" s="13"/>
      <c r="H681" s="16"/>
      <c r="I681" s="16"/>
    </row>
    <row r="682">
      <c r="E682" s="13"/>
      <c r="H682" s="16"/>
      <c r="I682" s="16"/>
    </row>
    <row r="683">
      <c r="E683" s="13"/>
      <c r="H683" s="16"/>
      <c r="I683" s="16"/>
    </row>
    <row r="684">
      <c r="E684" s="13"/>
      <c r="H684" s="16"/>
      <c r="I684" s="16"/>
    </row>
    <row r="685">
      <c r="E685" s="13"/>
      <c r="H685" s="16"/>
      <c r="I685" s="16"/>
    </row>
    <row r="686">
      <c r="E686" s="13"/>
      <c r="H686" s="16"/>
      <c r="I686" s="16"/>
    </row>
    <row r="687">
      <c r="E687" s="13"/>
      <c r="H687" s="16"/>
      <c r="I687" s="16"/>
    </row>
    <row r="688">
      <c r="E688" s="13"/>
      <c r="H688" s="16"/>
      <c r="I688" s="16"/>
    </row>
    <row r="689">
      <c r="E689" s="13"/>
      <c r="H689" s="16"/>
      <c r="I689" s="16"/>
    </row>
    <row r="690">
      <c r="E690" s="13"/>
      <c r="H690" s="16"/>
      <c r="I690" s="16"/>
    </row>
    <row r="691">
      <c r="E691" s="13"/>
      <c r="H691" s="16"/>
      <c r="I691" s="16"/>
    </row>
    <row r="692">
      <c r="E692" s="13"/>
      <c r="H692" s="16"/>
      <c r="I692" s="16"/>
    </row>
    <row r="693">
      <c r="E693" s="13"/>
      <c r="H693" s="16"/>
      <c r="I693" s="16"/>
    </row>
    <row r="694">
      <c r="E694" s="13"/>
      <c r="H694" s="16"/>
      <c r="I694" s="16"/>
    </row>
    <row r="695">
      <c r="E695" s="13"/>
      <c r="H695" s="16"/>
      <c r="I695" s="16"/>
    </row>
    <row r="696">
      <c r="E696" s="13"/>
      <c r="H696" s="16"/>
      <c r="I696" s="16"/>
    </row>
    <row r="697">
      <c r="E697" s="13"/>
      <c r="H697" s="16"/>
      <c r="I697" s="16"/>
    </row>
    <row r="698">
      <c r="E698" s="13"/>
      <c r="H698" s="16"/>
      <c r="I698" s="16"/>
    </row>
    <row r="699">
      <c r="E699" s="13"/>
      <c r="H699" s="16"/>
      <c r="I699" s="16"/>
    </row>
    <row r="700">
      <c r="E700" s="13"/>
      <c r="H700" s="16"/>
      <c r="I700" s="16"/>
    </row>
    <row r="701">
      <c r="E701" s="13"/>
      <c r="H701" s="16"/>
      <c r="I701" s="16"/>
    </row>
    <row r="702">
      <c r="E702" s="13"/>
      <c r="H702" s="16"/>
      <c r="I702" s="16"/>
    </row>
    <row r="703">
      <c r="E703" s="13"/>
      <c r="H703" s="16"/>
      <c r="I703" s="16"/>
    </row>
    <row r="704">
      <c r="E704" s="13"/>
      <c r="H704" s="16"/>
      <c r="I704" s="16"/>
    </row>
    <row r="705">
      <c r="E705" s="13"/>
      <c r="H705" s="16"/>
      <c r="I705" s="16"/>
    </row>
    <row r="706">
      <c r="E706" s="13"/>
      <c r="H706" s="16"/>
      <c r="I706" s="16"/>
    </row>
    <row r="707">
      <c r="E707" s="13"/>
      <c r="H707" s="16"/>
      <c r="I707" s="16"/>
    </row>
    <row r="708">
      <c r="E708" s="13"/>
      <c r="H708" s="16"/>
      <c r="I708" s="16"/>
    </row>
    <row r="709">
      <c r="E709" s="13"/>
      <c r="H709" s="16"/>
      <c r="I709" s="16"/>
    </row>
    <row r="710">
      <c r="E710" s="13"/>
      <c r="H710" s="16"/>
      <c r="I710" s="16"/>
    </row>
    <row r="711">
      <c r="E711" s="13"/>
      <c r="H711" s="16"/>
      <c r="I711" s="16"/>
    </row>
    <row r="712">
      <c r="E712" s="13"/>
      <c r="H712" s="16"/>
      <c r="I712" s="16"/>
    </row>
    <row r="713">
      <c r="E713" s="13"/>
      <c r="H713" s="16"/>
      <c r="I713" s="16"/>
    </row>
    <row r="714">
      <c r="E714" s="13"/>
      <c r="H714" s="16"/>
      <c r="I714" s="16"/>
    </row>
    <row r="715">
      <c r="E715" s="13"/>
      <c r="H715" s="16"/>
      <c r="I715" s="16"/>
    </row>
    <row r="716">
      <c r="E716" s="13"/>
      <c r="H716" s="16"/>
      <c r="I716" s="16"/>
    </row>
    <row r="717">
      <c r="E717" s="13"/>
      <c r="H717" s="16"/>
      <c r="I717" s="16"/>
    </row>
    <row r="718">
      <c r="E718" s="13"/>
      <c r="H718" s="16"/>
      <c r="I718" s="16"/>
    </row>
    <row r="719">
      <c r="E719" s="13"/>
      <c r="H719" s="16"/>
      <c r="I719" s="16"/>
    </row>
    <row r="720">
      <c r="E720" s="13"/>
      <c r="H720" s="16"/>
      <c r="I720" s="16"/>
    </row>
    <row r="721">
      <c r="E721" s="13"/>
      <c r="H721" s="16"/>
      <c r="I721" s="16"/>
    </row>
    <row r="722">
      <c r="E722" s="13"/>
      <c r="H722" s="16"/>
      <c r="I722" s="16"/>
    </row>
    <row r="723">
      <c r="E723" s="13"/>
      <c r="H723" s="16"/>
      <c r="I723" s="16"/>
    </row>
    <row r="724">
      <c r="E724" s="13"/>
      <c r="H724" s="16"/>
      <c r="I724" s="16"/>
    </row>
    <row r="725">
      <c r="E725" s="13"/>
      <c r="H725" s="16"/>
      <c r="I725" s="16"/>
    </row>
    <row r="726">
      <c r="E726" s="13"/>
      <c r="H726" s="16"/>
      <c r="I726" s="16"/>
    </row>
    <row r="727">
      <c r="E727" s="13"/>
      <c r="H727" s="16"/>
      <c r="I727" s="16"/>
    </row>
    <row r="728">
      <c r="E728" s="13"/>
      <c r="H728" s="16"/>
      <c r="I728" s="16"/>
    </row>
    <row r="729">
      <c r="E729" s="13"/>
      <c r="H729" s="16"/>
      <c r="I729" s="16"/>
    </row>
    <row r="730">
      <c r="E730" s="13"/>
      <c r="H730" s="16"/>
      <c r="I730" s="16"/>
    </row>
    <row r="731">
      <c r="E731" s="13"/>
      <c r="H731" s="16"/>
      <c r="I731" s="16"/>
    </row>
    <row r="732">
      <c r="E732" s="13"/>
      <c r="H732" s="16"/>
      <c r="I732" s="16"/>
    </row>
    <row r="733">
      <c r="E733" s="13"/>
      <c r="H733" s="16"/>
      <c r="I733" s="16"/>
    </row>
    <row r="734">
      <c r="E734" s="13"/>
      <c r="H734" s="16"/>
      <c r="I734" s="16"/>
    </row>
    <row r="735">
      <c r="E735" s="13"/>
      <c r="H735" s="16"/>
      <c r="I735" s="16"/>
    </row>
    <row r="736">
      <c r="E736" s="13"/>
      <c r="H736" s="16"/>
      <c r="I736" s="16"/>
    </row>
    <row r="737">
      <c r="E737" s="13"/>
      <c r="H737" s="16"/>
      <c r="I737" s="16"/>
    </row>
    <row r="738">
      <c r="E738" s="13"/>
      <c r="H738" s="16"/>
      <c r="I738" s="16"/>
    </row>
    <row r="739">
      <c r="E739" s="13"/>
      <c r="H739" s="16"/>
      <c r="I739" s="16"/>
    </row>
    <row r="740">
      <c r="E740" s="13"/>
      <c r="H740" s="16"/>
      <c r="I740" s="16"/>
    </row>
    <row r="741">
      <c r="E741" s="13"/>
      <c r="H741" s="16"/>
      <c r="I741" s="16"/>
    </row>
    <row r="742">
      <c r="E742" s="13"/>
      <c r="H742" s="16"/>
      <c r="I742" s="16"/>
    </row>
    <row r="743">
      <c r="E743" s="13"/>
      <c r="H743" s="16"/>
      <c r="I743" s="16"/>
    </row>
    <row r="744">
      <c r="E744" s="13"/>
      <c r="H744" s="16"/>
      <c r="I744" s="16"/>
    </row>
    <row r="745">
      <c r="E745" s="13"/>
      <c r="H745" s="16"/>
      <c r="I745" s="16"/>
    </row>
    <row r="746">
      <c r="E746" s="13"/>
      <c r="H746" s="16"/>
      <c r="I746" s="16"/>
    </row>
    <row r="747">
      <c r="E747" s="13"/>
      <c r="H747" s="16"/>
      <c r="I747" s="16"/>
    </row>
    <row r="748">
      <c r="E748" s="13"/>
      <c r="H748" s="16"/>
      <c r="I748" s="16"/>
    </row>
    <row r="749">
      <c r="E749" s="13"/>
      <c r="H749" s="16"/>
      <c r="I749" s="16"/>
    </row>
    <row r="750">
      <c r="E750" s="13"/>
      <c r="H750" s="16"/>
      <c r="I750" s="16"/>
    </row>
    <row r="751">
      <c r="E751" s="13"/>
      <c r="H751" s="16"/>
      <c r="I751" s="16"/>
    </row>
    <row r="752">
      <c r="E752" s="13"/>
      <c r="H752" s="16"/>
      <c r="I752" s="16"/>
    </row>
    <row r="753">
      <c r="E753" s="13"/>
      <c r="H753" s="16"/>
      <c r="I753" s="16"/>
    </row>
    <row r="754">
      <c r="E754" s="13"/>
      <c r="H754" s="16"/>
      <c r="I754" s="16"/>
    </row>
    <row r="755">
      <c r="E755" s="13"/>
      <c r="H755" s="16"/>
      <c r="I755" s="16"/>
    </row>
    <row r="756">
      <c r="E756" s="13"/>
      <c r="H756" s="16"/>
      <c r="I756" s="16"/>
    </row>
    <row r="757">
      <c r="E757" s="13"/>
      <c r="H757" s="16"/>
      <c r="I757" s="16"/>
    </row>
    <row r="758">
      <c r="E758" s="13"/>
      <c r="H758" s="16"/>
      <c r="I758" s="16"/>
    </row>
    <row r="759">
      <c r="E759" s="13"/>
      <c r="H759" s="16"/>
      <c r="I759" s="16"/>
    </row>
    <row r="760">
      <c r="E760" s="13"/>
      <c r="H760" s="16"/>
      <c r="I760" s="16"/>
    </row>
    <row r="761">
      <c r="E761" s="13"/>
      <c r="H761" s="16"/>
      <c r="I761" s="16"/>
    </row>
    <row r="762">
      <c r="E762" s="13"/>
      <c r="H762" s="16"/>
      <c r="I762" s="16"/>
    </row>
    <row r="763">
      <c r="E763" s="13"/>
      <c r="H763" s="16"/>
      <c r="I763" s="16"/>
    </row>
    <row r="764">
      <c r="E764" s="13"/>
      <c r="H764" s="16"/>
      <c r="I764" s="16"/>
    </row>
    <row r="765">
      <c r="E765" s="13"/>
      <c r="H765" s="16"/>
      <c r="I765" s="16"/>
    </row>
    <row r="766">
      <c r="E766" s="13"/>
      <c r="H766" s="16"/>
      <c r="I766" s="16"/>
    </row>
    <row r="767">
      <c r="E767" s="13"/>
      <c r="H767" s="16"/>
      <c r="I767" s="16"/>
    </row>
    <row r="768">
      <c r="E768" s="13"/>
      <c r="H768" s="16"/>
      <c r="I768" s="16"/>
    </row>
    <row r="769">
      <c r="E769" s="13"/>
      <c r="H769" s="16"/>
      <c r="I769" s="16"/>
    </row>
    <row r="770">
      <c r="E770" s="13"/>
      <c r="H770" s="16"/>
      <c r="I770" s="16"/>
    </row>
    <row r="771">
      <c r="E771" s="13"/>
      <c r="H771" s="16"/>
      <c r="I771" s="16"/>
    </row>
    <row r="772">
      <c r="E772" s="13"/>
      <c r="H772" s="16"/>
      <c r="I772" s="16"/>
    </row>
    <row r="773">
      <c r="E773" s="13"/>
      <c r="H773" s="16"/>
      <c r="I773" s="16"/>
    </row>
    <row r="774">
      <c r="E774" s="13"/>
      <c r="H774" s="16"/>
      <c r="I774" s="16"/>
    </row>
    <row r="775">
      <c r="E775" s="13"/>
      <c r="H775" s="16"/>
      <c r="I775" s="16"/>
    </row>
    <row r="776">
      <c r="E776" s="13"/>
      <c r="H776" s="16"/>
      <c r="I776" s="16"/>
    </row>
    <row r="777">
      <c r="E777" s="13"/>
      <c r="H777" s="16"/>
      <c r="I777" s="16"/>
    </row>
    <row r="778">
      <c r="E778" s="13"/>
      <c r="H778" s="16"/>
      <c r="I778" s="16"/>
    </row>
    <row r="779">
      <c r="E779" s="13"/>
      <c r="H779" s="16"/>
      <c r="I779" s="16"/>
    </row>
    <row r="780">
      <c r="E780" s="13"/>
      <c r="H780" s="16"/>
      <c r="I780" s="16"/>
    </row>
    <row r="781">
      <c r="E781" s="13"/>
      <c r="H781" s="16"/>
      <c r="I781" s="16"/>
    </row>
    <row r="782">
      <c r="E782" s="13"/>
      <c r="H782" s="16"/>
      <c r="I782" s="16"/>
    </row>
    <row r="783">
      <c r="E783" s="13"/>
      <c r="H783" s="16"/>
      <c r="I783" s="16"/>
    </row>
    <row r="784">
      <c r="E784" s="13"/>
      <c r="H784" s="16"/>
      <c r="I784" s="16"/>
    </row>
    <row r="785">
      <c r="E785" s="13"/>
      <c r="H785" s="16"/>
      <c r="I785" s="16"/>
    </row>
    <row r="786">
      <c r="E786" s="13"/>
      <c r="H786" s="16"/>
      <c r="I786" s="16"/>
    </row>
    <row r="787">
      <c r="E787" s="13"/>
      <c r="H787" s="16"/>
      <c r="I787" s="16"/>
    </row>
    <row r="788">
      <c r="E788" s="13"/>
      <c r="H788" s="16"/>
      <c r="I788" s="16"/>
    </row>
    <row r="789">
      <c r="E789" s="13"/>
      <c r="H789" s="16"/>
      <c r="I789" s="16"/>
    </row>
    <row r="790">
      <c r="E790" s="13"/>
      <c r="H790" s="16"/>
      <c r="I790" s="16"/>
    </row>
    <row r="791">
      <c r="E791" s="13"/>
      <c r="H791" s="16"/>
      <c r="I791" s="16"/>
    </row>
    <row r="792">
      <c r="E792" s="13"/>
      <c r="H792" s="16"/>
      <c r="I792" s="16"/>
    </row>
    <row r="793">
      <c r="E793" s="13"/>
      <c r="H793" s="16"/>
      <c r="I793" s="16"/>
    </row>
    <row r="794">
      <c r="E794" s="13"/>
      <c r="H794" s="16"/>
      <c r="I794" s="16"/>
    </row>
    <row r="795">
      <c r="E795" s="13"/>
      <c r="H795" s="16"/>
      <c r="I795" s="16"/>
    </row>
    <row r="796">
      <c r="E796" s="13"/>
      <c r="H796" s="16"/>
      <c r="I796" s="16"/>
    </row>
    <row r="797">
      <c r="E797" s="13"/>
      <c r="H797" s="16"/>
      <c r="I797" s="16"/>
    </row>
    <row r="798">
      <c r="E798" s="13"/>
      <c r="H798" s="16"/>
      <c r="I798" s="16"/>
    </row>
    <row r="799">
      <c r="E799" s="13"/>
      <c r="H799" s="16"/>
      <c r="I799" s="16"/>
    </row>
    <row r="800">
      <c r="E800" s="13"/>
      <c r="H800" s="16"/>
      <c r="I800" s="16"/>
    </row>
    <row r="801">
      <c r="E801" s="13"/>
      <c r="H801" s="16"/>
      <c r="I801" s="16"/>
    </row>
    <row r="802">
      <c r="E802" s="13"/>
      <c r="H802" s="16"/>
      <c r="I802" s="16"/>
    </row>
    <row r="803">
      <c r="E803" s="13"/>
      <c r="H803" s="16"/>
      <c r="I803" s="16"/>
    </row>
    <row r="804">
      <c r="E804" s="13"/>
      <c r="H804" s="16"/>
      <c r="I804" s="16"/>
    </row>
    <row r="805">
      <c r="E805" s="13"/>
      <c r="H805" s="16"/>
      <c r="I805" s="16"/>
    </row>
    <row r="806">
      <c r="E806" s="13"/>
      <c r="H806" s="16"/>
      <c r="I806" s="16"/>
    </row>
    <row r="807">
      <c r="E807" s="13"/>
      <c r="H807" s="16"/>
      <c r="I807" s="16"/>
    </row>
    <row r="808">
      <c r="E808" s="13"/>
      <c r="H808" s="16"/>
      <c r="I808" s="16"/>
    </row>
    <row r="809">
      <c r="E809" s="13"/>
      <c r="H809" s="16"/>
      <c r="I809" s="16"/>
    </row>
    <row r="810">
      <c r="E810" s="13"/>
      <c r="H810" s="16"/>
      <c r="I810" s="16"/>
    </row>
    <row r="811">
      <c r="E811" s="13"/>
      <c r="H811" s="16"/>
      <c r="I811" s="16"/>
    </row>
    <row r="812">
      <c r="E812" s="13"/>
      <c r="H812" s="16"/>
      <c r="I812" s="16"/>
    </row>
    <row r="813">
      <c r="E813" s="13"/>
      <c r="H813" s="16"/>
      <c r="I813" s="16"/>
    </row>
    <row r="814">
      <c r="E814" s="13"/>
      <c r="H814" s="16"/>
      <c r="I814" s="16"/>
    </row>
    <row r="815">
      <c r="E815" s="13"/>
      <c r="H815" s="16"/>
      <c r="I815" s="16"/>
    </row>
    <row r="816">
      <c r="E816" s="13"/>
      <c r="H816" s="16"/>
      <c r="I816" s="16"/>
    </row>
    <row r="817">
      <c r="E817" s="13"/>
      <c r="H817" s="16"/>
      <c r="I817" s="16"/>
    </row>
    <row r="818">
      <c r="E818" s="13"/>
      <c r="H818" s="16"/>
      <c r="I818" s="16"/>
    </row>
    <row r="819">
      <c r="E819" s="13"/>
      <c r="H819" s="16"/>
      <c r="I819" s="16"/>
    </row>
    <row r="820">
      <c r="E820" s="13"/>
      <c r="H820" s="16"/>
      <c r="I820" s="16"/>
    </row>
    <row r="821">
      <c r="E821" s="13"/>
      <c r="H821" s="16"/>
      <c r="I821" s="16"/>
    </row>
    <row r="822">
      <c r="E822" s="13"/>
      <c r="H822" s="16"/>
      <c r="I822" s="16"/>
    </row>
    <row r="823">
      <c r="E823" s="13"/>
      <c r="H823" s="16"/>
      <c r="I823" s="16"/>
    </row>
    <row r="824">
      <c r="E824" s="13"/>
      <c r="H824" s="16"/>
      <c r="I824" s="16"/>
    </row>
    <row r="825">
      <c r="E825" s="13"/>
      <c r="H825" s="16"/>
      <c r="I825" s="16"/>
    </row>
    <row r="826">
      <c r="E826" s="13"/>
      <c r="H826" s="16"/>
      <c r="I826" s="16"/>
    </row>
    <row r="827">
      <c r="E827" s="13"/>
      <c r="H827" s="16"/>
      <c r="I827" s="16"/>
    </row>
    <row r="828">
      <c r="E828" s="13"/>
      <c r="H828" s="16"/>
      <c r="I828" s="16"/>
    </row>
    <row r="829">
      <c r="E829" s="13"/>
      <c r="H829" s="16"/>
      <c r="I829" s="16"/>
    </row>
    <row r="830">
      <c r="E830" s="13"/>
      <c r="H830" s="16"/>
      <c r="I830" s="16"/>
    </row>
    <row r="831">
      <c r="E831" s="13"/>
      <c r="H831" s="16"/>
      <c r="I831" s="16"/>
    </row>
    <row r="832">
      <c r="E832" s="13"/>
      <c r="H832" s="16"/>
      <c r="I832" s="16"/>
    </row>
    <row r="833">
      <c r="E833" s="13"/>
      <c r="H833" s="16"/>
      <c r="I833" s="16"/>
    </row>
    <row r="834">
      <c r="E834" s="13"/>
      <c r="H834" s="16"/>
      <c r="I834" s="16"/>
    </row>
    <row r="835">
      <c r="E835" s="13"/>
      <c r="H835" s="16"/>
      <c r="I835" s="16"/>
    </row>
    <row r="836">
      <c r="E836" s="13"/>
      <c r="H836" s="16"/>
      <c r="I836" s="16"/>
    </row>
    <row r="837">
      <c r="E837" s="13"/>
      <c r="H837" s="16"/>
      <c r="I837" s="16"/>
    </row>
    <row r="838">
      <c r="E838" s="13"/>
      <c r="H838" s="16"/>
      <c r="I838" s="16"/>
    </row>
    <row r="839">
      <c r="E839" s="13"/>
      <c r="H839" s="16"/>
      <c r="I839" s="16"/>
    </row>
    <row r="840">
      <c r="E840" s="13"/>
      <c r="H840" s="16"/>
      <c r="I840" s="16"/>
    </row>
    <row r="841">
      <c r="E841" s="13"/>
      <c r="H841" s="16"/>
      <c r="I841" s="16"/>
    </row>
    <row r="842">
      <c r="E842" s="13"/>
      <c r="H842" s="16"/>
      <c r="I842" s="16"/>
    </row>
    <row r="843">
      <c r="E843" s="13"/>
      <c r="H843" s="16"/>
      <c r="I843" s="16"/>
    </row>
    <row r="844">
      <c r="E844" s="13"/>
      <c r="H844" s="16"/>
      <c r="I844" s="16"/>
    </row>
    <row r="845">
      <c r="E845" s="13"/>
      <c r="H845" s="16"/>
      <c r="I845" s="16"/>
    </row>
    <row r="846">
      <c r="E846" s="13"/>
      <c r="H846" s="16"/>
      <c r="I846" s="16"/>
    </row>
    <row r="847">
      <c r="E847" s="13"/>
      <c r="H847" s="16"/>
      <c r="I847" s="16"/>
    </row>
    <row r="848">
      <c r="E848" s="13"/>
      <c r="H848" s="16"/>
      <c r="I848" s="16"/>
    </row>
    <row r="849">
      <c r="E849" s="13"/>
      <c r="H849" s="16"/>
      <c r="I849" s="16"/>
    </row>
    <row r="850">
      <c r="E850" s="13"/>
      <c r="H850" s="16"/>
      <c r="I850" s="16"/>
    </row>
    <row r="851">
      <c r="E851" s="13"/>
      <c r="H851" s="16"/>
      <c r="I851" s="16"/>
    </row>
    <row r="852">
      <c r="E852" s="13"/>
      <c r="H852" s="16"/>
      <c r="I852" s="16"/>
    </row>
    <row r="853">
      <c r="E853" s="13"/>
      <c r="H853" s="16"/>
      <c r="I853" s="16"/>
    </row>
    <row r="854">
      <c r="E854" s="13"/>
      <c r="H854" s="16"/>
      <c r="I854" s="16"/>
    </row>
    <row r="855">
      <c r="E855" s="13"/>
      <c r="H855" s="16"/>
      <c r="I855" s="16"/>
    </row>
    <row r="856">
      <c r="E856" s="13"/>
      <c r="H856" s="16"/>
      <c r="I856" s="16"/>
    </row>
    <row r="857">
      <c r="E857" s="13"/>
      <c r="H857" s="16"/>
      <c r="I857" s="16"/>
    </row>
    <row r="858">
      <c r="E858" s="13"/>
      <c r="H858" s="16"/>
      <c r="I858" s="16"/>
    </row>
    <row r="859">
      <c r="E859" s="13"/>
      <c r="H859" s="16"/>
      <c r="I859" s="16"/>
    </row>
    <row r="860">
      <c r="E860" s="13"/>
      <c r="H860" s="16"/>
      <c r="I860" s="16"/>
    </row>
    <row r="861">
      <c r="E861" s="13"/>
      <c r="H861" s="16"/>
      <c r="I861" s="16"/>
    </row>
    <row r="862">
      <c r="E862" s="13"/>
      <c r="H862" s="16"/>
      <c r="I862" s="16"/>
    </row>
    <row r="863">
      <c r="E863" s="13"/>
      <c r="H863" s="16"/>
      <c r="I863" s="16"/>
    </row>
    <row r="864">
      <c r="E864" s="13"/>
      <c r="H864" s="16"/>
      <c r="I864" s="16"/>
    </row>
    <row r="865">
      <c r="E865" s="13"/>
      <c r="H865" s="16"/>
      <c r="I865" s="16"/>
    </row>
    <row r="866">
      <c r="E866" s="13"/>
      <c r="H866" s="16"/>
      <c r="I866" s="16"/>
    </row>
    <row r="867">
      <c r="E867" s="13"/>
      <c r="H867" s="16"/>
      <c r="I867" s="16"/>
    </row>
    <row r="868">
      <c r="E868" s="13"/>
      <c r="H868" s="16"/>
      <c r="I868" s="16"/>
    </row>
    <row r="869">
      <c r="E869" s="13"/>
      <c r="H869" s="16"/>
      <c r="I869" s="16"/>
    </row>
    <row r="870">
      <c r="E870" s="13"/>
      <c r="H870" s="16"/>
      <c r="I870" s="16"/>
    </row>
    <row r="871">
      <c r="E871" s="13"/>
      <c r="H871" s="16"/>
      <c r="I871" s="16"/>
    </row>
    <row r="872">
      <c r="E872" s="13"/>
      <c r="H872" s="16"/>
      <c r="I872" s="16"/>
    </row>
    <row r="873">
      <c r="E873" s="13"/>
      <c r="H873" s="16"/>
      <c r="I873" s="16"/>
    </row>
    <row r="874">
      <c r="E874" s="13"/>
      <c r="H874" s="16"/>
      <c r="I874" s="16"/>
    </row>
    <row r="875">
      <c r="E875" s="13"/>
      <c r="H875" s="16"/>
      <c r="I875" s="16"/>
    </row>
    <row r="876">
      <c r="E876" s="13"/>
      <c r="H876" s="16"/>
      <c r="I876" s="16"/>
    </row>
    <row r="877">
      <c r="E877" s="13"/>
      <c r="H877" s="16"/>
      <c r="I877" s="16"/>
    </row>
    <row r="878">
      <c r="E878" s="13"/>
      <c r="H878" s="16"/>
      <c r="I878" s="16"/>
    </row>
    <row r="879">
      <c r="E879" s="13"/>
      <c r="H879" s="16"/>
      <c r="I879" s="16"/>
    </row>
    <row r="880">
      <c r="E880" s="13"/>
      <c r="H880" s="16"/>
      <c r="I880" s="16"/>
    </row>
    <row r="881">
      <c r="E881" s="13"/>
      <c r="H881" s="16"/>
      <c r="I881" s="16"/>
    </row>
    <row r="882">
      <c r="E882" s="13"/>
      <c r="H882" s="16"/>
      <c r="I882" s="16"/>
    </row>
    <row r="883">
      <c r="E883" s="13"/>
      <c r="H883" s="16"/>
      <c r="I883" s="16"/>
    </row>
    <row r="884">
      <c r="E884" s="13"/>
      <c r="H884" s="16"/>
      <c r="I884" s="16"/>
    </row>
    <row r="885">
      <c r="E885" s="13"/>
      <c r="H885" s="16"/>
      <c r="I885" s="16"/>
    </row>
    <row r="886">
      <c r="E886" s="13"/>
      <c r="H886" s="16"/>
      <c r="I886" s="16"/>
    </row>
    <row r="887">
      <c r="E887" s="13"/>
      <c r="H887" s="16"/>
      <c r="I887" s="16"/>
    </row>
    <row r="888">
      <c r="E888" s="13"/>
      <c r="H888" s="16"/>
      <c r="I888" s="16"/>
    </row>
    <row r="889">
      <c r="E889" s="13"/>
      <c r="H889" s="16"/>
      <c r="I889" s="16"/>
    </row>
    <row r="890">
      <c r="E890" s="13"/>
      <c r="H890" s="16"/>
      <c r="I890" s="16"/>
    </row>
    <row r="891">
      <c r="E891" s="13"/>
      <c r="H891" s="16"/>
      <c r="I891" s="16"/>
    </row>
    <row r="892">
      <c r="E892" s="13"/>
      <c r="H892" s="16"/>
      <c r="I892" s="16"/>
    </row>
    <row r="893">
      <c r="E893" s="13"/>
      <c r="H893" s="16"/>
      <c r="I893" s="16"/>
    </row>
    <row r="894">
      <c r="E894" s="13"/>
      <c r="H894" s="16"/>
      <c r="I894" s="16"/>
    </row>
    <row r="895">
      <c r="E895" s="13"/>
      <c r="H895" s="16"/>
      <c r="I895" s="16"/>
    </row>
    <row r="896">
      <c r="E896" s="13"/>
      <c r="H896" s="16"/>
      <c r="I896" s="16"/>
    </row>
    <row r="897">
      <c r="E897" s="13"/>
      <c r="H897" s="16"/>
      <c r="I897" s="16"/>
    </row>
    <row r="898">
      <c r="E898" s="13"/>
      <c r="H898" s="16"/>
      <c r="I898" s="16"/>
    </row>
    <row r="899">
      <c r="E899" s="13"/>
      <c r="H899" s="16"/>
      <c r="I899" s="16"/>
    </row>
    <row r="900">
      <c r="E900" s="13"/>
      <c r="H900" s="16"/>
      <c r="I900" s="16"/>
    </row>
    <row r="901">
      <c r="E901" s="13"/>
      <c r="H901" s="16"/>
      <c r="I901" s="16"/>
    </row>
    <row r="902">
      <c r="E902" s="13"/>
      <c r="H902" s="16"/>
      <c r="I902" s="16"/>
    </row>
    <row r="903">
      <c r="E903" s="13"/>
      <c r="H903" s="16"/>
      <c r="I903" s="16"/>
    </row>
    <row r="904">
      <c r="E904" s="13"/>
      <c r="H904" s="16"/>
      <c r="I904" s="16"/>
    </row>
    <row r="905">
      <c r="E905" s="13"/>
      <c r="H905" s="16"/>
      <c r="I905" s="16"/>
    </row>
    <row r="906">
      <c r="E906" s="13"/>
      <c r="H906" s="16"/>
      <c r="I906" s="16"/>
    </row>
    <row r="907">
      <c r="E907" s="13"/>
      <c r="H907" s="16"/>
      <c r="I907" s="16"/>
    </row>
    <row r="908">
      <c r="E908" s="13"/>
      <c r="H908" s="16"/>
      <c r="I908" s="16"/>
    </row>
    <row r="909">
      <c r="E909" s="13"/>
      <c r="H909" s="16"/>
      <c r="I909" s="16"/>
    </row>
    <row r="910">
      <c r="E910" s="13"/>
      <c r="H910" s="16"/>
      <c r="I910" s="16"/>
    </row>
    <row r="911">
      <c r="E911" s="13"/>
      <c r="H911" s="16"/>
      <c r="I911" s="16"/>
    </row>
    <row r="912">
      <c r="E912" s="13"/>
      <c r="H912" s="16"/>
      <c r="I912" s="16"/>
    </row>
    <row r="913">
      <c r="E913" s="13"/>
      <c r="H913" s="16"/>
      <c r="I913" s="16"/>
    </row>
    <row r="914">
      <c r="E914" s="13"/>
      <c r="H914" s="16"/>
      <c r="I914" s="16"/>
    </row>
    <row r="915">
      <c r="E915" s="13"/>
      <c r="H915" s="16"/>
      <c r="I915" s="16"/>
    </row>
    <row r="916">
      <c r="E916" s="13"/>
      <c r="H916" s="16"/>
      <c r="I916" s="16"/>
    </row>
    <row r="917">
      <c r="E917" s="13"/>
      <c r="H917" s="16"/>
      <c r="I917" s="16"/>
    </row>
    <row r="918">
      <c r="E918" s="13"/>
      <c r="H918" s="16"/>
      <c r="I918" s="16"/>
    </row>
    <row r="919">
      <c r="E919" s="13"/>
      <c r="H919" s="16"/>
      <c r="I919" s="16"/>
    </row>
    <row r="920">
      <c r="E920" s="13"/>
      <c r="H920" s="16"/>
      <c r="I920" s="16"/>
    </row>
    <row r="921">
      <c r="E921" s="13"/>
      <c r="H921" s="16"/>
      <c r="I921" s="16"/>
    </row>
    <row r="922">
      <c r="E922" s="13"/>
      <c r="H922" s="16"/>
      <c r="I922" s="16"/>
    </row>
    <row r="923">
      <c r="E923" s="13"/>
      <c r="H923" s="16"/>
      <c r="I923" s="16"/>
    </row>
    <row r="924">
      <c r="E924" s="13"/>
      <c r="H924" s="16"/>
      <c r="I924" s="16"/>
    </row>
    <row r="925">
      <c r="E925" s="13"/>
      <c r="H925" s="16"/>
      <c r="I925" s="16"/>
    </row>
    <row r="926">
      <c r="E926" s="13"/>
      <c r="H926" s="16"/>
      <c r="I926" s="16"/>
    </row>
    <row r="927">
      <c r="E927" s="13"/>
      <c r="H927" s="16"/>
      <c r="I927" s="16"/>
    </row>
    <row r="928">
      <c r="E928" s="13"/>
      <c r="H928" s="16"/>
      <c r="I928" s="16"/>
    </row>
    <row r="929">
      <c r="E929" s="13"/>
      <c r="H929" s="16"/>
      <c r="I929" s="16"/>
    </row>
    <row r="930">
      <c r="E930" s="13"/>
      <c r="H930" s="16"/>
      <c r="I930" s="16"/>
    </row>
    <row r="931">
      <c r="E931" s="13"/>
      <c r="H931" s="16"/>
      <c r="I931" s="16"/>
    </row>
    <row r="932">
      <c r="E932" s="13"/>
      <c r="H932" s="16"/>
      <c r="I932" s="16"/>
    </row>
    <row r="933">
      <c r="E933" s="13"/>
      <c r="H933" s="16"/>
      <c r="I933" s="16"/>
    </row>
    <row r="934">
      <c r="E934" s="13"/>
      <c r="H934" s="16"/>
      <c r="I934" s="16"/>
    </row>
    <row r="935">
      <c r="E935" s="13"/>
      <c r="H935" s="16"/>
      <c r="I935" s="16"/>
    </row>
    <row r="936">
      <c r="E936" s="13"/>
      <c r="H936" s="16"/>
      <c r="I936" s="16"/>
    </row>
    <row r="937">
      <c r="E937" s="13"/>
      <c r="H937" s="16"/>
      <c r="I937" s="16"/>
    </row>
    <row r="938">
      <c r="E938" s="13"/>
      <c r="H938" s="16"/>
      <c r="I938" s="16"/>
    </row>
    <row r="939">
      <c r="E939" s="13"/>
      <c r="H939" s="16"/>
      <c r="I939" s="16"/>
    </row>
    <row r="940">
      <c r="E940" s="13"/>
      <c r="H940" s="16"/>
      <c r="I940" s="16"/>
    </row>
    <row r="941">
      <c r="E941" s="13"/>
      <c r="H941" s="16"/>
      <c r="I941" s="16"/>
    </row>
    <row r="942">
      <c r="E942" s="13"/>
      <c r="H942" s="16"/>
      <c r="I942" s="16"/>
    </row>
    <row r="943">
      <c r="E943" s="13"/>
      <c r="H943" s="16"/>
      <c r="I943" s="16"/>
    </row>
    <row r="944">
      <c r="E944" s="13"/>
      <c r="H944" s="16"/>
      <c r="I944" s="16"/>
    </row>
    <row r="945">
      <c r="E945" s="13"/>
      <c r="H945" s="16"/>
      <c r="I945" s="16"/>
    </row>
    <row r="946">
      <c r="E946" s="13"/>
      <c r="H946" s="16"/>
      <c r="I946" s="16"/>
    </row>
    <row r="947">
      <c r="E947" s="13"/>
      <c r="H947" s="16"/>
      <c r="I947" s="16"/>
    </row>
    <row r="948">
      <c r="E948" s="13"/>
      <c r="H948" s="16"/>
      <c r="I948" s="16"/>
    </row>
    <row r="949">
      <c r="E949" s="13"/>
      <c r="H949" s="16"/>
      <c r="I949" s="16"/>
    </row>
    <row r="950">
      <c r="E950" s="13"/>
      <c r="H950" s="16"/>
      <c r="I950" s="16"/>
    </row>
    <row r="951">
      <c r="E951" s="13"/>
      <c r="H951" s="16"/>
      <c r="I951" s="16"/>
    </row>
    <row r="952">
      <c r="E952" s="13"/>
      <c r="H952" s="16"/>
      <c r="I952" s="16"/>
    </row>
    <row r="953">
      <c r="E953" s="13"/>
      <c r="H953" s="16"/>
      <c r="I953" s="16"/>
    </row>
    <row r="954">
      <c r="E954" s="13"/>
      <c r="H954" s="16"/>
      <c r="I954" s="16"/>
    </row>
    <row r="955">
      <c r="E955" s="13"/>
      <c r="H955" s="16"/>
      <c r="I955" s="16"/>
    </row>
    <row r="956">
      <c r="E956" s="13"/>
      <c r="H956" s="16"/>
      <c r="I956" s="16"/>
    </row>
    <row r="957">
      <c r="E957" s="13"/>
      <c r="H957" s="16"/>
      <c r="I957" s="16"/>
    </row>
    <row r="958">
      <c r="E958" s="13"/>
      <c r="H958" s="16"/>
      <c r="I958" s="16"/>
    </row>
    <row r="959">
      <c r="E959" s="13"/>
      <c r="H959" s="16"/>
      <c r="I959" s="16"/>
    </row>
    <row r="960">
      <c r="E960" s="13"/>
      <c r="H960" s="16"/>
      <c r="I960" s="16"/>
    </row>
    <row r="961">
      <c r="E961" s="13"/>
      <c r="H961" s="16"/>
      <c r="I961" s="16"/>
    </row>
    <row r="962">
      <c r="E962" s="13"/>
      <c r="H962" s="16"/>
      <c r="I962" s="16"/>
    </row>
    <row r="963">
      <c r="E963" s="13"/>
      <c r="H963" s="16"/>
      <c r="I963" s="16"/>
    </row>
    <row r="964">
      <c r="E964" s="13"/>
      <c r="H964" s="16"/>
      <c r="I964" s="16"/>
    </row>
    <row r="965">
      <c r="E965" s="13"/>
      <c r="H965" s="16"/>
      <c r="I965" s="16"/>
    </row>
    <row r="966">
      <c r="E966" s="13"/>
      <c r="H966" s="16"/>
      <c r="I966" s="16"/>
    </row>
    <row r="967">
      <c r="E967" s="13"/>
      <c r="H967" s="16"/>
      <c r="I967" s="16"/>
    </row>
    <row r="968">
      <c r="E968" s="13"/>
      <c r="H968" s="16"/>
      <c r="I968" s="16"/>
    </row>
    <row r="969">
      <c r="E969" s="13"/>
      <c r="H969" s="16"/>
      <c r="I969" s="16"/>
    </row>
    <row r="970">
      <c r="E970" s="13"/>
      <c r="H970" s="16"/>
      <c r="I970" s="16"/>
    </row>
    <row r="971">
      <c r="E971" s="13"/>
      <c r="H971" s="16"/>
      <c r="I971" s="16"/>
    </row>
    <row r="972">
      <c r="E972" s="13"/>
      <c r="H972" s="16"/>
      <c r="I972" s="16"/>
    </row>
    <row r="973">
      <c r="E973" s="13"/>
      <c r="H973" s="16"/>
      <c r="I973" s="16"/>
    </row>
    <row r="974">
      <c r="E974" s="13"/>
      <c r="H974" s="16"/>
      <c r="I974" s="16"/>
    </row>
    <row r="975">
      <c r="E975" s="13"/>
      <c r="H975" s="16"/>
      <c r="I975" s="16"/>
    </row>
    <row r="976">
      <c r="E976" s="13"/>
      <c r="H976" s="16"/>
      <c r="I976" s="16"/>
    </row>
    <row r="977">
      <c r="E977" s="13"/>
      <c r="H977" s="16"/>
      <c r="I977" s="16"/>
    </row>
    <row r="978">
      <c r="E978" s="13"/>
      <c r="H978" s="16"/>
      <c r="I978" s="16"/>
    </row>
    <row r="979">
      <c r="E979" s="13"/>
      <c r="H979" s="16"/>
      <c r="I979" s="16"/>
    </row>
    <row r="980">
      <c r="E980" s="13"/>
      <c r="H980" s="16"/>
      <c r="I980" s="16"/>
    </row>
    <row r="981">
      <c r="E981" s="13"/>
      <c r="H981" s="16"/>
      <c r="I981" s="16"/>
    </row>
    <row r="982">
      <c r="E982" s="13"/>
      <c r="H982" s="16"/>
      <c r="I982" s="16"/>
    </row>
    <row r="983">
      <c r="E983" s="13"/>
      <c r="H983" s="16"/>
      <c r="I983" s="16"/>
    </row>
    <row r="984">
      <c r="E984" s="13"/>
      <c r="H984" s="16"/>
      <c r="I984" s="16"/>
    </row>
    <row r="985">
      <c r="E985" s="13"/>
      <c r="H985" s="16"/>
      <c r="I985" s="16"/>
    </row>
    <row r="986">
      <c r="E986" s="13"/>
      <c r="H986" s="16"/>
      <c r="I986" s="16"/>
    </row>
    <row r="987">
      <c r="E987" s="13"/>
      <c r="H987" s="16"/>
      <c r="I987" s="16"/>
    </row>
    <row r="988">
      <c r="E988" s="13"/>
      <c r="H988" s="16"/>
      <c r="I988" s="16"/>
    </row>
    <row r="989">
      <c r="E989" s="13"/>
      <c r="H989" s="16"/>
      <c r="I989" s="16"/>
    </row>
    <row r="990">
      <c r="E990" s="13"/>
      <c r="H990" s="16"/>
      <c r="I990" s="16"/>
    </row>
    <row r="991">
      <c r="E991" s="13"/>
      <c r="H991" s="16"/>
      <c r="I991" s="16"/>
    </row>
    <row r="992">
      <c r="E992" s="13"/>
      <c r="H992" s="16"/>
      <c r="I992" s="16"/>
    </row>
    <row r="993">
      <c r="E993" s="13"/>
      <c r="H993" s="16"/>
      <c r="I993" s="16"/>
    </row>
    <row r="994">
      <c r="E994" s="13"/>
      <c r="H994" s="16"/>
      <c r="I994" s="16"/>
    </row>
    <row r="995">
      <c r="E995" s="13"/>
      <c r="H995" s="16"/>
      <c r="I995" s="16"/>
    </row>
    <row r="996">
      <c r="E996" s="13"/>
      <c r="H996" s="16"/>
      <c r="I996" s="16"/>
    </row>
    <row r="997">
      <c r="E997" s="13"/>
      <c r="H997" s="16"/>
      <c r="I997" s="16"/>
    </row>
    <row r="998">
      <c r="E998" s="13"/>
      <c r="H998" s="16"/>
      <c r="I998" s="16"/>
    </row>
    <row r="999">
      <c r="E999" s="13"/>
      <c r="H999" s="16"/>
      <c r="I999" s="16"/>
    </row>
    <row r="1000">
      <c r="E1000" s="13"/>
      <c r="H1000" s="16"/>
      <c r="I1000" s="16"/>
    </row>
    <row r="1001">
      <c r="E1001" s="13"/>
      <c r="H1001" s="16"/>
      <c r="I1001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>
      <c r="A2" s="1" t="s">
        <v>141</v>
      </c>
      <c r="B2" s="1">
        <v>88.0</v>
      </c>
      <c r="C2" s="1">
        <v>876.0</v>
      </c>
      <c r="D2" s="1">
        <v>18.0</v>
      </c>
      <c r="E2" s="8">
        <v>0.0</v>
      </c>
      <c r="F2" s="1">
        <v>7.0</v>
      </c>
      <c r="G2" s="1">
        <v>11.0</v>
      </c>
      <c r="H2" s="3">
        <v>2.32620454545454</v>
      </c>
      <c r="I2" s="3">
        <v>2.56487190074905</v>
      </c>
    </row>
    <row r="3">
      <c r="A3" s="1" t="s">
        <v>157</v>
      </c>
      <c r="B3" s="1">
        <v>125.0</v>
      </c>
      <c r="C3" s="1">
        <v>1074.0</v>
      </c>
      <c r="D3" s="1">
        <v>16.0</v>
      </c>
      <c r="E3" s="8">
        <v>0.001984</v>
      </c>
      <c r="F3" s="1">
        <v>9.0</v>
      </c>
      <c r="G3" s="1">
        <v>13.0</v>
      </c>
      <c r="H3" s="3">
        <v>3.190416</v>
      </c>
      <c r="I3" s="3">
        <v>3.10488353194511</v>
      </c>
    </row>
    <row r="4">
      <c r="A4" s="1" t="s">
        <v>76</v>
      </c>
      <c r="B4" s="1">
        <v>137.0</v>
      </c>
      <c r="C4" s="1">
        <v>1344.0</v>
      </c>
      <c r="D4" s="1">
        <v>29.0</v>
      </c>
      <c r="E4" s="8">
        <v>0.00766423357664233</v>
      </c>
      <c r="F4" s="1">
        <v>22.0</v>
      </c>
      <c r="G4" s="1">
        <v>27.0</v>
      </c>
      <c r="H4" s="3">
        <v>8.3838102189781</v>
      </c>
      <c r="I4" s="3">
        <v>6.79567729235235</v>
      </c>
    </row>
    <row r="5">
      <c r="A5" s="1" t="s">
        <v>22</v>
      </c>
      <c r="B5" s="1">
        <v>140.0</v>
      </c>
      <c r="C5" s="1">
        <v>1033.0</v>
      </c>
      <c r="D5" s="1">
        <v>14.0</v>
      </c>
      <c r="E5" s="8">
        <v>0.00998571428571428</v>
      </c>
      <c r="F5" s="1">
        <v>10.0</v>
      </c>
      <c r="G5" s="1">
        <v>13.0</v>
      </c>
      <c r="H5" s="3">
        <v>3.7304</v>
      </c>
      <c r="I5" s="3">
        <v>3.2442522995071</v>
      </c>
    </row>
    <row r="6">
      <c r="A6" s="1" t="s">
        <v>65</v>
      </c>
      <c r="B6" s="1">
        <v>141.0</v>
      </c>
      <c r="C6" s="1">
        <v>1140.0</v>
      </c>
      <c r="D6" s="1">
        <v>21.0</v>
      </c>
      <c r="E6" s="8">
        <v>0.0131205673758865</v>
      </c>
      <c r="F6" s="1">
        <v>16.0</v>
      </c>
      <c r="G6" s="1">
        <v>22.0</v>
      </c>
      <c r="H6" s="3">
        <v>6.10873758865248</v>
      </c>
      <c r="I6" s="3">
        <v>5.08750439405304</v>
      </c>
    </row>
    <row r="7">
      <c r="A7" s="1" t="s">
        <v>112</v>
      </c>
      <c r="B7" s="1">
        <v>124.0</v>
      </c>
      <c r="C7" s="1">
        <v>890.0</v>
      </c>
      <c r="D7" s="1">
        <v>5.0</v>
      </c>
      <c r="E7" s="8">
        <v>0.0140806451612903</v>
      </c>
      <c r="F7" s="1">
        <v>3.0</v>
      </c>
      <c r="G7" s="1">
        <v>5.0</v>
      </c>
      <c r="H7" s="3">
        <v>0.634903225806451</v>
      </c>
      <c r="I7" s="3">
        <v>1.18680697549617</v>
      </c>
    </row>
    <row r="8">
      <c r="A8" s="1" t="s">
        <v>38</v>
      </c>
      <c r="B8" s="1">
        <v>91.0</v>
      </c>
      <c r="C8" s="1">
        <v>869.0</v>
      </c>
      <c r="D8" s="1">
        <v>7.0</v>
      </c>
      <c r="E8" s="8">
        <v>0.0167252747252747</v>
      </c>
      <c r="F8" s="1">
        <v>5.0</v>
      </c>
      <c r="G8" s="1">
        <v>7.0</v>
      </c>
      <c r="H8" s="3">
        <v>1.17890109890109</v>
      </c>
      <c r="I8" s="3">
        <v>1.70147799393496</v>
      </c>
    </row>
    <row r="9">
      <c r="A9" s="1" t="s">
        <v>50</v>
      </c>
      <c r="B9" s="1">
        <v>106.0</v>
      </c>
      <c r="C9" s="1">
        <v>908.0</v>
      </c>
      <c r="D9" s="1">
        <v>15.0</v>
      </c>
      <c r="E9" s="8">
        <v>0.0168301886792452</v>
      </c>
      <c r="F9" s="1">
        <v>11.0</v>
      </c>
      <c r="G9" s="1">
        <v>15.0</v>
      </c>
      <c r="H9" s="3">
        <v>4.08183018867924</v>
      </c>
      <c r="I9" s="3">
        <v>3.74411261741935</v>
      </c>
    </row>
    <row r="10">
      <c r="A10" s="1" t="s">
        <v>93</v>
      </c>
      <c r="B10" s="1">
        <v>59.0</v>
      </c>
      <c r="C10" s="1">
        <v>844.0</v>
      </c>
      <c r="D10" s="1">
        <v>8.0</v>
      </c>
      <c r="E10" s="8">
        <v>0.0184067796610169</v>
      </c>
      <c r="F10" s="1">
        <v>5.0</v>
      </c>
      <c r="G10" s="1">
        <v>9.0</v>
      </c>
      <c r="H10" s="3">
        <v>1.53264406779661</v>
      </c>
      <c r="I10" s="3">
        <v>2.00988711853289</v>
      </c>
    </row>
    <row r="11">
      <c r="A11" s="1" t="s">
        <v>18</v>
      </c>
      <c r="B11" s="1">
        <v>97.0</v>
      </c>
      <c r="C11" s="1">
        <v>839.0</v>
      </c>
      <c r="D11" s="1">
        <v>6.0</v>
      </c>
      <c r="E11" s="8">
        <v>0.0283092783505154</v>
      </c>
      <c r="F11" s="1">
        <v>4.0</v>
      </c>
      <c r="G11" s="1">
        <v>7.0</v>
      </c>
      <c r="H11" s="3">
        <v>1.16651546391752</v>
      </c>
      <c r="I11" s="3">
        <v>1.60966937191283</v>
      </c>
    </row>
    <row r="12">
      <c r="A12" s="1" t="s">
        <v>24</v>
      </c>
      <c r="B12" s="1">
        <v>114.0</v>
      </c>
      <c r="C12" s="1">
        <v>1316.0</v>
      </c>
      <c r="D12" s="1">
        <v>13.0</v>
      </c>
      <c r="E12" s="8">
        <v>0.0325087719298245</v>
      </c>
      <c r="F12" s="1">
        <v>11.0</v>
      </c>
      <c r="G12" s="1">
        <v>16.0</v>
      </c>
      <c r="H12" s="3">
        <v>3.58043859649122</v>
      </c>
      <c r="I12" s="3">
        <v>3.77436224201505</v>
      </c>
    </row>
    <row r="13">
      <c r="A13" s="1" t="s">
        <v>54</v>
      </c>
      <c r="B13" s="1">
        <v>127.0</v>
      </c>
      <c r="C13" s="1">
        <v>1219.0</v>
      </c>
      <c r="D13" s="1">
        <v>20.0</v>
      </c>
      <c r="E13" s="8">
        <v>0.0359055118110236</v>
      </c>
      <c r="F13" s="1">
        <v>18.0</v>
      </c>
      <c r="G13" s="1">
        <v>24.0</v>
      </c>
      <c r="H13" s="3">
        <v>7.58525984251968</v>
      </c>
      <c r="I13" s="3">
        <v>5.65530815135767</v>
      </c>
    </row>
    <row r="14">
      <c r="A14" s="1" t="s">
        <v>138</v>
      </c>
      <c r="B14" s="1">
        <v>64.0</v>
      </c>
      <c r="C14" s="1">
        <v>1189.0</v>
      </c>
      <c r="D14" s="1">
        <v>25.0</v>
      </c>
      <c r="E14" s="8">
        <v>0.03784375</v>
      </c>
      <c r="F14" s="1">
        <v>23.0</v>
      </c>
      <c r="G14" s="1">
        <v>30.0</v>
      </c>
      <c r="H14" s="3">
        <v>9.400125</v>
      </c>
      <c r="I14" s="3">
        <v>7.36232130407081</v>
      </c>
    </row>
    <row r="15">
      <c r="A15" s="1" t="s">
        <v>160</v>
      </c>
      <c r="B15" s="1">
        <v>121.0</v>
      </c>
      <c r="C15" s="1">
        <v>991.0</v>
      </c>
      <c r="D15" s="1">
        <v>6.0</v>
      </c>
      <c r="E15" s="8">
        <v>0.0391404958677686</v>
      </c>
      <c r="F15" s="1">
        <v>5.0</v>
      </c>
      <c r="G15" s="1">
        <v>8.0</v>
      </c>
      <c r="H15" s="3">
        <v>1.38682644628099</v>
      </c>
      <c r="I15" s="3">
        <v>1.85586450719136</v>
      </c>
    </row>
    <row r="16">
      <c r="A16" s="1" t="s">
        <v>128</v>
      </c>
      <c r="B16" s="1">
        <v>114.0</v>
      </c>
      <c r="C16" s="1">
        <v>1786.0</v>
      </c>
      <c r="D16" s="1">
        <v>21.0</v>
      </c>
      <c r="E16" s="8">
        <v>0.0451929824561403</v>
      </c>
      <c r="F16" s="1">
        <v>20.0</v>
      </c>
      <c r="G16" s="1">
        <v>26.0</v>
      </c>
      <c r="H16" s="3">
        <v>7.8919649122807</v>
      </c>
      <c r="I16" s="3">
        <v>6.49334169088292</v>
      </c>
    </row>
    <row r="17">
      <c r="A17" s="1" t="s">
        <v>137</v>
      </c>
      <c r="B17" s="1">
        <v>126.0</v>
      </c>
      <c r="C17" s="1">
        <v>1040.0</v>
      </c>
      <c r="D17" s="1">
        <v>7.0</v>
      </c>
      <c r="E17" s="8">
        <v>0.0543333333333333</v>
      </c>
      <c r="F17" s="1">
        <v>7.0</v>
      </c>
      <c r="G17" s="1">
        <v>9.0</v>
      </c>
      <c r="H17" s="3">
        <v>2.20084126984127</v>
      </c>
      <c r="I17" s="3">
        <v>2.30502472325238</v>
      </c>
    </row>
    <row r="18">
      <c r="A18" s="1" t="s">
        <v>106</v>
      </c>
      <c r="B18" s="1">
        <v>96.0</v>
      </c>
      <c r="C18" s="1">
        <v>1000.0</v>
      </c>
      <c r="D18" s="1">
        <v>27.0</v>
      </c>
      <c r="E18" s="8">
        <v>0.0606875</v>
      </c>
      <c r="F18" s="1">
        <v>27.0</v>
      </c>
      <c r="G18" s="1">
        <v>34.0</v>
      </c>
      <c r="H18" s="3">
        <v>12.386125</v>
      </c>
      <c r="I18" s="3">
        <v>8.44217038549378</v>
      </c>
    </row>
    <row r="19">
      <c r="A19" s="1" t="s">
        <v>72</v>
      </c>
      <c r="B19" s="1">
        <v>104.0</v>
      </c>
      <c r="C19" s="1">
        <v>1419.0</v>
      </c>
      <c r="D19" s="1">
        <v>17.0</v>
      </c>
      <c r="E19" s="8">
        <v>0.0618846153846153</v>
      </c>
      <c r="F19" s="1">
        <v>17.0</v>
      </c>
      <c r="G19" s="1">
        <v>24.0</v>
      </c>
      <c r="H19" s="3">
        <v>6.76961538461538</v>
      </c>
      <c r="I19" s="3">
        <v>5.70028000713678</v>
      </c>
    </row>
    <row r="20">
      <c r="A20" s="1" t="s">
        <v>60</v>
      </c>
      <c r="B20" s="1">
        <v>86.0</v>
      </c>
      <c r="C20" s="1">
        <v>1322.0</v>
      </c>
      <c r="D20" s="1">
        <v>19.0</v>
      </c>
      <c r="E20" s="8">
        <v>0.0625581395348837</v>
      </c>
      <c r="F20" s="1">
        <v>20.0</v>
      </c>
      <c r="G20" s="1">
        <v>26.0</v>
      </c>
      <c r="H20" s="3">
        <v>7.97648837209302</v>
      </c>
      <c r="I20" s="3">
        <v>6.16718101096099</v>
      </c>
    </row>
    <row r="21">
      <c r="A21" s="1" t="s">
        <v>171</v>
      </c>
      <c r="B21" s="1">
        <v>95.0</v>
      </c>
      <c r="C21" s="1">
        <v>835.0</v>
      </c>
      <c r="D21" s="1">
        <v>4.0</v>
      </c>
      <c r="E21" s="8">
        <v>0.0636210526315789</v>
      </c>
      <c r="F21" s="1">
        <v>4.0</v>
      </c>
      <c r="G21" s="1">
        <v>6.0</v>
      </c>
      <c r="H21" s="3">
        <v>0.939221052631579</v>
      </c>
      <c r="I21" s="3">
        <v>1.42954929355887</v>
      </c>
    </row>
    <row r="22">
      <c r="A22" s="1" t="s">
        <v>20</v>
      </c>
      <c r="B22" s="1">
        <v>114.0</v>
      </c>
      <c r="C22" s="1">
        <v>1004.0</v>
      </c>
      <c r="D22" s="1">
        <v>8.0</v>
      </c>
      <c r="E22" s="8">
        <v>0.0640526315789473</v>
      </c>
      <c r="F22" s="1">
        <v>8.0</v>
      </c>
      <c r="G22" s="1">
        <v>11.0</v>
      </c>
      <c r="H22" s="3">
        <v>2.67698245614035</v>
      </c>
      <c r="I22" s="3">
        <v>2.73518529787787</v>
      </c>
    </row>
    <row r="23">
      <c r="A23" s="1" t="s">
        <v>52</v>
      </c>
      <c r="B23" s="1">
        <v>98.0</v>
      </c>
      <c r="C23" s="1">
        <v>1080.0</v>
      </c>
      <c r="D23" s="1">
        <v>6.0</v>
      </c>
      <c r="E23" s="8">
        <v>0.0655510204081632</v>
      </c>
      <c r="F23" s="1">
        <v>6.0</v>
      </c>
      <c r="G23" s="1">
        <v>8.0</v>
      </c>
      <c r="H23" s="3">
        <v>1.71722448979591</v>
      </c>
      <c r="I23" s="3">
        <v>2.14922797021899</v>
      </c>
    </row>
    <row r="24">
      <c r="A24" s="1" t="s">
        <v>81</v>
      </c>
      <c r="B24" s="1">
        <v>119.0</v>
      </c>
      <c r="C24" s="1">
        <v>1313.0</v>
      </c>
      <c r="D24" s="1">
        <v>17.0</v>
      </c>
      <c r="E24" s="8">
        <v>0.0658823529411764</v>
      </c>
      <c r="F24" s="1">
        <v>18.0</v>
      </c>
      <c r="G24" s="1">
        <v>23.0</v>
      </c>
      <c r="H24" s="3">
        <v>6.96173109243697</v>
      </c>
      <c r="I24" s="3">
        <v>5.60828298249315</v>
      </c>
    </row>
    <row r="25">
      <c r="A25" s="1" t="s">
        <v>107</v>
      </c>
      <c r="B25" s="1">
        <v>108.0</v>
      </c>
      <c r="C25" s="1">
        <v>1378.0</v>
      </c>
      <c r="D25" s="1">
        <v>18.0</v>
      </c>
      <c r="E25" s="8">
        <v>0.0677962962962963</v>
      </c>
      <c r="F25" s="1">
        <v>19.0</v>
      </c>
      <c r="G25" s="1">
        <v>25.0</v>
      </c>
      <c r="H25" s="3">
        <v>7.95129629629629</v>
      </c>
      <c r="I25" s="3">
        <v>6.00296517666132</v>
      </c>
    </row>
    <row r="26">
      <c r="A26" s="1" t="s">
        <v>66</v>
      </c>
      <c r="B26" s="1">
        <v>136.0</v>
      </c>
      <c r="C26" s="1">
        <v>1539.0</v>
      </c>
      <c r="D26" s="1">
        <v>17.0</v>
      </c>
      <c r="E26" s="8">
        <v>0.0698382352941176</v>
      </c>
      <c r="F26" s="1">
        <v>18.0</v>
      </c>
      <c r="G26" s="1">
        <v>24.0</v>
      </c>
      <c r="H26" s="3">
        <v>6.61423529411764</v>
      </c>
      <c r="I26" s="3">
        <v>5.99641390410489</v>
      </c>
    </row>
    <row r="27">
      <c r="A27" s="1" t="s">
        <v>84</v>
      </c>
      <c r="B27" s="1">
        <v>124.0</v>
      </c>
      <c r="C27" s="1">
        <v>1324.0</v>
      </c>
      <c r="D27" s="1">
        <v>12.0</v>
      </c>
      <c r="E27" s="8">
        <v>0.0751774193548387</v>
      </c>
      <c r="F27" s="1">
        <v>13.0</v>
      </c>
      <c r="G27" s="1">
        <v>17.0</v>
      </c>
      <c r="H27" s="3">
        <v>4.52209677419354</v>
      </c>
      <c r="I27" s="3">
        <v>4.22344784892275</v>
      </c>
    </row>
    <row r="28">
      <c r="A28" s="1" t="s">
        <v>98</v>
      </c>
      <c r="B28" s="1">
        <v>132.0</v>
      </c>
      <c r="C28" s="1">
        <v>947.0</v>
      </c>
      <c r="D28" s="1">
        <v>13.0</v>
      </c>
      <c r="E28" s="8">
        <v>0.0781363636363636</v>
      </c>
      <c r="F28" s="1">
        <v>14.0</v>
      </c>
      <c r="G28" s="1">
        <v>19.0</v>
      </c>
      <c r="H28" s="3">
        <v>5.33946969696969</v>
      </c>
      <c r="I28" s="3">
        <v>4.56194599200058</v>
      </c>
    </row>
    <row r="29">
      <c r="A29" s="1" t="s">
        <v>16</v>
      </c>
      <c r="B29" s="1">
        <v>117.0</v>
      </c>
      <c r="C29" s="1">
        <v>766.0</v>
      </c>
      <c r="D29" s="1">
        <v>6.0</v>
      </c>
      <c r="E29" s="8">
        <v>0.0789572649572649</v>
      </c>
      <c r="F29" s="1">
        <v>7.0</v>
      </c>
      <c r="G29" s="1">
        <v>10.0</v>
      </c>
      <c r="H29" s="3">
        <v>1.81752136752136</v>
      </c>
      <c r="I29" s="3">
        <v>2.35536500010751</v>
      </c>
    </row>
    <row r="30">
      <c r="A30" s="1" t="s">
        <v>85</v>
      </c>
      <c r="B30" s="1">
        <v>109.0</v>
      </c>
      <c r="C30" s="1">
        <v>1642.0</v>
      </c>
      <c r="D30" s="1">
        <v>13.0</v>
      </c>
      <c r="E30" s="8">
        <v>0.0843302752293577</v>
      </c>
      <c r="F30" s="1">
        <v>14.0</v>
      </c>
      <c r="G30" s="1">
        <v>18.0</v>
      </c>
      <c r="H30" s="3">
        <v>5.31455045871559</v>
      </c>
      <c r="I30" s="3">
        <v>4.67008567488399</v>
      </c>
    </row>
    <row r="31">
      <c r="A31" s="1" t="s">
        <v>90</v>
      </c>
      <c r="B31" s="1">
        <v>77.0</v>
      </c>
      <c r="C31" s="1">
        <v>733.0</v>
      </c>
      <c r="D31" s="1">
        <v>3.0</v>
      </c>
      <c r="E31" s="8">
        <v>0.0927012987012987</v>
      </c>
      <c r="F31" s="1">
        <v>3.0</v>
      </c>
      <c r="G31" s="1">
        <v>5.0</v>
      </c>
      <c r="H31" s="3">
        <v>0.668467532467532</v>
      </c>
      <c r="I31" s="3">
        <v>1.23103081696701</v>
      </c>
    </row>
    <row r="32">
      <c r="A32" s="1" t="s">
        <v>14</v>
      </c>
      <c r="B32" s="1">
        <v>124.0</v>
      </c>
      <c r="C32" s="1">
        <v>1096.0</v>
      </c>
      <c r="D32" s="1">
        <v>4.0</v>
      </c>
      <c r="E32" s="8">
        <v>0.0975645161290322</v>
      </c>
      <c r="F32" s="1">
        <v>5.0</v>
      </c>
      <c r="G32" s="1">
        <v>8.0</v>
      </c>
      <c r="H32" s="3">
        <v>1.24066129032258</v>
      </c>
      <c r="I32" s="3">
        <v>1.73048610030253</v>
      </c>
    </row>
    <row r="33">
      <c r="A33" s="1" t="s">
        <v>110</v>
      </c>
      <c r="B33" s="1">
        <v>129.0</v>
      </c>
      <c r="C33" s="1">
        <v>1299.0</v>
      </c>
      <c r="D33" s="1">
        <v>6.0</v>
      </c>
      <c r="E33" s="8">
        <v>0.104217054263565</v>
      </c>
      <c r="F33" s="1">
        <v>7.0</v>
      </c>
      <c r="G33" s="1">
        <v>9.0</v>
      </c>
      <c r="H33" s="3">
        <v>2.20212403100775</v>
      </c>
      <c r="I33" s="3">
        <v>2.3168473266497</v>
      </c>
    </row>
    <row r="34">
      <c r="A34" s="1" t="s">
        <v>94</v>
      </c>
      <c r="B34" s="1">
        <v>93.0</v>
      </c>
      <c r="C34" s="1">
        <v>767.0</v>
      </c>
      <c r="D34" s="1">
        <v>3.0</v>
      </c>
      <c r="E34" s="8">
        <v>0.104516129032258</v>
      </c>
      <c r="F34" s="1">
        <v>4.0</v>
      </c>
      <c r="G34" s="1">
        <v>6.0</v>
      </c>
      <c r="H34" s="3">
        <v>0.80552688172043</v>
      </c>
      <c r="I34" s="3">
        <v>1.38817106868859</v>
      </c>
    </row>
    <row r="35">
      <c r="A35" s="1" t="s">
        <v>101</v>
      </c>
      <c r="B35" s="1">
        <v>136.0</v>
      </c>
      <c r="C35" s="1">
        <v>1151.0</v>
      </c>
      <c r="D35" s="1">
        <v>5.0</v>
      </c>
      <c r="E35" s="8">
        <v>0.109514705882352</v>
      </c>
      <c r="F35" s="1">
        <v>6.0</v>
      </c>
      <c r="G35" s="1">
        <v>10.0</v>
      </c>
      <c r="H35" s="3">
        <v>1.75276470588235</v>
      </c>
      <c r="I35" s="3">
        <v>2.26220051718029</v>
      </c>
    </row>
    <row r="36">
      <c r="A36" s="1" t="s">
        <v>136</v>
      </c>
      <c r="B36" s="1">
        <v>110.0</v>
      </c>
      <c r="C36" s="1">
        <v>1448.0</v>
      </c>
      <c r="D36" s="1">
        <v>17.0</v>
      </c>
      <c r="E36" s="8">
        <v>0.109563636363636</v>
      </c>
      <c r="F36" s="1">
        <v>19.0</v>
      </c>
      <c r="G36" s="1">
        <v>26.0</v>
      </c>
      <c r="H36" s="3">
        <v>7.84821818181818</v>
      </c>
      <c r="I36" s="3">
        <v>6.37229361502065</v>
      </c>
    </row>
    <row r="37">
      <c r="A37" s="1" t="s">
        <v>150</v>
      </c>
      <c r="B37" s="1">
        <v>81.0</v>
      </c>
      <c r="C37" s="1">
        <v>783.0</v>
      </c>
      <c r="D37" s="1">
        <v>4.0</v>
      </c>
      <c r="E37" s="8">
        <v>0.110716049382716</v>
      </c>
      <c r="F37" s="1">
        <v>5.0</v>
      </c>
      <c r="G37" s="1">
        <v>8.0</v>
      </c>
      <c r="H37" s="3">
        <v>1.29397530864197</v>
      </c>
      <c r="I37" s="3">
        <v>1.77285380578159</v>
      </c>
    </row>
    <row r="38">
      <c r="A38" s="1" t="s">
        <v>62</v>
      </c>
      <c r="B38" s="1">
        <v>118.0</v>
      </c>
      <c r="C38" s="1">
        <v>1493.0</v>
      </c>
      <c r="D38" s="1">
        <v>12.0</v>
      </c>
      <c r="E38" s="8">
        <v>0.116745762711864</v>
      </c>
      <c r="F38" s="1">
        <v>14.0</v>
      </c>
      <c r="G38" s="1">
        <v>19.0</v>
      </c>
      <c r="H38" s="3">
        <v>5.63323728813559</v>
      </c>
      <c r="I38" s="3">
        <v>4.63893365464186</v>
      </c>
    </row>
    <row r="39">
      <c r="A39" s="1" t="s">
        <v>96</v>
      </c>
      <c r="B39" s="1">
        <v>121.0</v>
      </c>
      <c r="C39" s="1">
        <v>972.0</v>
      </c>
      <c r="D39" s="1">
        <v>6.0</v>
      </c>
      <c r="E39" s="8">
        <v>0.119206611570247</v>
      </c>
      <c r="F39" s="1">
        <v>7.0</v>
      </c>
      <c r="G39" s="1">
        <v>10.0</v>
      </c>
      <c r="H39" s="3">
        <v>2.27292561983471</v>
      </c>
      <c r="I39" s="3">
        <v>2.56262859678223</v>
      </c>
    </row>
    <row r="40">
      <c r="A40" s="1" t="s">
        <v>74</v>
      </c>
      <c r="B40" s="1">
        <v>104.0</v>
      </c>
      <c r="C40" s="1">
        <v>793.0</v>
      </c>
      <c r="D40" s="1">
        <v>3.0</v>
      </c>
      <c r="E40" s="8">
        <v>0.119846153846153</v>
      </c>
      <c r="F40" s="1">
        <v>4.0</v>
      </c>
      <c r="G40" s="1">
        <v>6.0</v>
      </c>
      <c r="H40" s="3">
        <v>0.849961538461538</v>
      </c>
      <c r="I40" s="3">
        <v>1.47324471779833</v>
      </c>
    </row>
    <row r="41">
      <c r="A41" s="1" t="s">
        <v>133</v>
      </c>
      <c r="B41" s="1">
        <v>76.0</v>
      </c>
      <c r="C41" s="1">
        <v>1463.0</v>
      </c>
      <c r="D41" s="1">
        <v>14.0</v>
      </c>
      <c r="E41" s="8">
        <v>0.122578947368421</v>
      </c>
      <c r="F41" s="1">
        <v>17.0</v>
      </c>
      <c r="G41" s="1">
        <v>22.0</v>
      </c>
      <c r="H41" s="3">
        <v>6.88065789473684</v>
      </c>
      <c r="I41" s="3">
        <v>5.34583404834434</v>
      </c>
    </row>
    <row r="42">
      <c r="A42" s="1" t="s">
        <v>190</v>
      </c>
      <c r="B42" s="1">
        <v>37.0</v>
      </c>
      <c r="C42" s="1">
        <v>540.0</v>
      </c>
      <c r="D42" s="1">
        <v>4.0</v>
      </c>
      <c r="E42" s="8">
        <v>0.130486486486486</v>
      </c>
      <c r="F42" s="1">
        <v>5.0</v>
      </c>
      <c r="G42" s="1">
        <v>8.0</v>
      </c>
      <c r="H42" s="3">
        <v>1.3487027027027</v>
      </c>
      <c r="I42" s="3">
        <v>1.91149465877706</v>
      </c>
    </row>
    <row r="43">
      <c r="A43" s="1" t="s">
        <v>40</v>
      </c>
      <c r="B43" s="1">
        <v>62.0</v>
      </c>
      <c r="C43" s="1">
        <v>869.0</v>
      </c>
      <c r="D43" s="1">
        <v>6.0</v>
      </c>
      <c r="E43" s="8">
        <v>0.137290322580645</v>
      </c>
      <c r="F43" s="1">
        <v>8.0</v>
      </c>
      <c r="G43" s="1">
        <v>11.0</v>
      </c>
      <c r="H43" s="3">
        <v>2.45045161290322</v>
      </c>
      <c r="I43" s="3">
        <v>2.69614954642559</v>
      </c>
    </row>
    <row r="44">
      <c r="A44" s="1" t="s">
        <v>135</v>
      </c>
      <c r="B44" s="1">
        <v>112.0</v>
      </c>
      <c r="C44" s="1">
        <v>1304.0</v>
      </c>
      <c r="D44" s="1">
        <v>7.0</v>
      </c>
      <c r="E44" s="8">
        <v>0.141535714285714</v>
      </c>
      <c r="F44" s="1">
        <v>10.0</v>
      </c>
      <c r="G44" s="1">
        <v>13.0</v>
      </c>
      <c r="H44" s="3">
        <v>3.10233928571428</v>
      </c>
      <c r="I44" s="3">
        <v>3.17376098870986</v>
      </c>
    </row>
    <row r="45">
      <c r="A45" s="1" t="s">
        <v>48</v>
      </c>
      <c r="B45" s="1">
        <v>85.0</v>
      </c>
      <c r="C45" s="1">
        <v>1047.0</v>
      </c>
      <c r="D45" s="1">
        <v>7.0</v>
      </c>
      <c r="E45" s="8">
        <v>0.142847058823529</v>
      </c>
      <c r="F45" s="1">
        <v>10.0</v>
      </c>
      <c r="G45" s="1">
        <v>13.0</v>
      </c>
      <c r="H45" s="3">
        <v>3.14724705882352</v>
      </c>
      <c r="I45" s="3">
        <v>3.13033179187082</v>
      </c>
    </row>
    <row r="46">
      <c r="A46" s="1" t="s">
        <v>130</v>
      </c>
      <c r="B46" s="1">
        <v>109.0</v>
      </c>
      <c r="C46" s="1">
        <v>1080.0</v>
      </c>
      <c r="D46" s="1">
        <v>10.0</v>
      </c>
      <c r="E46" s="8">
        <v>0.143137614678899</v>
      </c>
      <c r="F46" s="1">
        <v>13.0</v>
      </c>
      <c r="G46" s="1">
        <v>18.0</v>
      </c>
      <c r="H46" s="3">
        <v>4.67130275229357</v>
      </c>
      <c r="I46" s="3">
        <v>4.35901621235041</v>
      </c>
    </row>
    <row r="47">
      <c r="A47" s="1" t="s">
        <v>68</v>
      </c>
      <c r="B47" s="1">
        <v>103.0</v>
      </c>
      <c r="C47" s="1">
        <v>1136.0</v>
      </c>
      <c r="D47" s="1">
        <v>9.0</v>
      </c>
      <c r="E47" s="8">
        <v>0.152796116504854</v>
      </c>
      <c r="F47" s="1">
        <v>12.0</v>
      </c>
      <c r="G47" s="1">
        <v>16.0</v>
      </c>
      <c r="H47" s="3">
        <v>4.25493203883495</v>
      </c>
      <c r="I47" s="3">
        <v>4.03858573068829</v>
      </c>
    </row>
    <row r="48">
      <c r="A48" s="1" t="s">
        <v>26</v>
      </c>
      <c r="B48" s="1">
        <v>98.0</v>
      </c>
      <c r="C48" s="1">
        <v>888.0</v>
      </c>
      <c r="D48" s="1">
        <v>3.0</v>
      </c>
      <c r="E48" s="8">
        <v>0.152938775510204</v>
      </c>
      <c r="F48" s="1">
        <v>4.0</v>
      </c>
      <c r="G48" s="1">
        <v>6.0</v>
      </c>
      <c r="H48" s="3">
        <v>1.00671428571428</v>
      </c>
      <c r="I48" s="3">
        <v>1.47935997606245</v>
      </c>
    </row>
    <row r="49">
      <c r="A49" s="1" t="s">
        <v>177</v>
      </c>
      <c r="B49" s="1">
        <v>107.0</v>
      </c>
      <c r="C49" s="1">
        <v>1579.0</v>
      </c>
      <c r="D49" s="1">
        <v>9.0</v>
      </c>
      <c r="E49" s="8">
        <v>0.156915887850467</v>
      </c>
      <c r="F49" s="1">
        <v>12.0</v>
      </c>
      <c r="G49" s="1">
        <v>17.0</v>
      </c>
      <c r="H49" s="3">
        <v>4.56287850467289</v>
      </c>
      <c r="I49" s="3">
        <v>3.97230006280708</v>
      </c>
    </row>
    <row r="50">
      <c r="A50" s="1" t="s">
        <v>32</v>
      </c>
      <c r="B50" s="1">
        <v>114.0</v>
      </c>
      <c r="C50" s="1">
        <v>1024.0</v>
      </c>
      <c r="D50" s="1">
        <v>4.0</v>
      </c>
      <c r="E50" s="8">
        <v>0.160666666666666</v>
      </c>
      <c r="F50" s="1">
        <v>6.0</v>
      </c>
      <c r="G50" s="1">
        <v>8.0</v>
      </c>
      <c r="H50" s="3">
        <v>1.54059649122807</v>
      </c>
      <c r="I50" s="3">
        <v>2.00625364280938</v>
      </c>
    </row>
    <row r="51">
      <c r="A51" s="1" t="s">
        <v>169</v>
      </c>
      <c r="B51" s="1">
        <v>114.0</v>
      </c>
      <c r="C51" s="1">
        <v>818.0</v>
      </c>
      <c r="D51" s="1">
        <v>3.0</v>
      </c>
      <c r="E51" s="8">
        <v>0.162578947368421</v>
      </c>
      <c r="F51" s="1">
        <v>5.0</v>
      </c>
      <c r="G51" s="1">
        <v>7.0</v>
      </c>
      <c r="H51" s="3">
        <v>1.09377192982456</v>
      </c>
      <c r="I51" s="3">
        <v>1.67533075569167</v>
      </c>
    </row>
    <row r="52">
      <c r="A52" s="1" t="s">
        <v>73</v>
      </c>
      <c r="B52" s="1">
        <v>94.0</v>
      </c>
      <c r="C52" s="1">
        <v>1574.0</v>
      </c>
      <c r="D52" s="1">
        <v>12.0</v>
      </c>
      <c r="E52" s="8">
        <v>0.16531914893617</v>
      </c>
      <c r="F52" s="1">
        <v>16.0</v>
      </c>
      <c r="G52" s="1">
        <v>23.0</v>
      </c>
      <c r="H52" s="3">
        <v>6.22902127659574</v>
      </c>
      <c r="I52" s="3">
        <v>5.43208124954652</v>
      </c>
    </row>
    <row r="53">
      <c r="A53" s="1" t="s">
        <v>118</v>
      </c>
      <c r="B53" s="1">
        <v>136.0</v>
      </c>
      <c r="C53" s="1">
        <v>1406.0</v>
      </c>
      <c r="D53" s="1">
        <v>23.0</v>
      </c>
      <c r="E53" s="8">
        <v>0.170794117647058</v>
      </c>
      <c r="F53" s="1">
        <v>30.0</v>
      </c>
      <c r="G53" s="1">
        <v>39.0</v>
      </c>
      <c r="H53" s="3">
        <v>12.7967794117647</v>
      </c>
      <c r="I53" s="3">
        <v>9.6492964500399</v>
      </c>
    </row>
    <row r="54">
      <c r="A54" s="1" t="s">
        <v>100</v>
      </c>
      <c r="B54" s="1">
        <v>114.0</v>
      </c>
      <c r="C54" s="1">
        <v>1602.0</v>
      </c>
      <c r="D54" s="1">
        <v>7.0</v>
      </c>
      <c r="E54" s="8">
        <v>0.171315789473684</v>
      </c>
      <c r="F54" s="1">
        <v>10.0</v>
      </c>
      <c r="G54" s="1">
        <v>14.0</v>
      </c>
      <c r="H54" s="3">
        <v>3.44824561403508</v>
      </c>
      <c r="I54" s="3">
        <v>3.35925358397191</v>
      </c>
    </row>
    <row r="55">
      <c r="A55" s="1" t="s">
        <v>121</v>
      </c>
      <c r="B55" s="1">
        <v>117.0</v>
      </c>
      <c r="C55" s="1">
        <v>817.0</v>
      </c>
      <c r="D55" s="1">
        <v>3.0</v>
      </c>
      <c r="E55" s="8">
        <v>0.173931623931623</v>
      </c>
      <c r="F55" s="1">
        <v>5.0</v>
      </c>
      <c r="G55" s="1">
        <v>9.0</v>
      </c>
      <c r="H55" s="3">
        <v>1.15825641025641</v>
      </c>
      <c r="I55" s="3">
        <v>2.03138983265214</v>
      </c>
    </row>
    <row r="56">
      <c r="A56" s="1" t="s">
        <v>95</v>
      </c>
      <c r="B56" s="1">
        <v>79.0</v>
      </c>
      <c r="C56" s="1">
        <v>1004.0</v>
      </c>
      <c r="D56" s="1">
        <v>7.0</v>
      </c>
      <c r="E56" s="8">
        <v>0.179848101265822</v>
      </c>
      <c r="F56" s="1">
        <v>11.0</v>
      </c>
      <c r="G56" s="1">
        <v>15.0</v>
      </c>
      <c r="H56" s="3">
        <v>3.43103797468354</v>
      </c>
      <c r="I56" s="3">
        <v>3.71443011436576</v>
      </c>
    </row>
    <row r="57">
      <c r="A57" s="1" t="s">
        <v>79</v>
      </c>
      <c r="B57" s="1">
        <v>102.0</v>
      </c>
      <c r="C57" s="1">
        <v>1268.0</v>
      </c>
      <c r="D57" s="1">
        <v>6.0</v>
      </c>
      <c r="E57" s="8">
        <v>0.180764705882352</v>
      </c>
      <c r="F57" s="1">
        <v>9.0</v>
      </c>
      <c r="G57" s="1">
        <v>13.0</v>
      </c>
      <c r="H57" s="3">
        <v>2.90321568627451</v>
      </c>
      <c r="I57" s="3">
        <v>3.02232306648136</v>
      </c>
    </row>
    <row r="58">
      <c r="A58" s="1" t="s">
        <v>67</v>
      </c>
      <c r="B58" s="1">
        <v>111.0</v>
      </c>
      <c r="C58" s="1">
        <v>864.0</v>
      </c>
      <c r="D58" s="1">
        <v>3.0</v>
      </c>
      <c r="E58" s="8">
        <v>0.18609009009009</v>
      </c>
      <c r="F58" s="1">
        <v>5.0</v>
      </c>
      <c r="G58" s="1">
        <v>7.0</v>
      </c>
      <c r="H58" s="3">
        <v>1.23268468468468</v>
      </c>
      <c r="I58" s="3">
        <v>1.72579325007884</v>
      </c>
    </row>
    <row r="59">
      <c r="A59" s="1" t="s">
        <v>42</v>
      </c>
      <c r="B59" s="1">
        <v>134.0</v>
      </c>
      <c r="C59" s="1">
        <v>983.0</v>
      </c>
      <c r="D59" s="1">
        <v>6.0</v>
      </c>
      <c r="E59" s="8">
        <v>0.188940298507462</v>
      </c>
      <c r="F59" s="1">
        <v>9.0</v>
      </c>
      <c r="G59" s="1">
        <v>12.0099999999947</v>
      </c>
      <c r="H59" s="3">
        <v>2.94341791044776</v>
      </c>
      <c r="I59" s="3">
        <v>3.02307666078659</v>
      </c>
    </row>
    <row r="60">
      <c r="A60" s="1" t="s">
        <v>46</v>
      </c>
      <c r="B60" s="1">
        <v>143.0</v>
      </c>
      <c r="C60" s="1">
        <v>917.0</v>
      </c>
      <c r="D60" s="1">
        <v>7.0</v>
      </c>
      <c r="E60" s="8">
        <v>0.195496503496503</v>
      </c>
      <c r="F60" s="1">
        <v>10.0</v>
      </c>
      <c r="G60" s="1">
        <v>14.0</v>
      </c>
      <c r="H60" s="3">
        <v>3.74897902097902</v>
      </c>
      <c r="I60" s="3">
        <v>3.38079453455464</v>
      </c>
    </row>
    <row r="61">
      <c r="A61" s="1" t="s">
        <v>44</v>
      </c>
      <c r="B61" s="1">
        <v>116.0</v>
      </c>
      <c r="C61" s="1">
        <v>912.0</v>
      </c>
      <c r="D61" s="1">
        <v>7.0</v>
      </c>
      <c r="E61" s="8">
        <v>0.1965</v>
      </c>
      <c r="F61" s="1">
        <v>10.0</v>
      </c>
      <c r="G61" s="1">
        <v>14.0</v>
      </c>
      <c r="H61" s="3">
        <v>3.75265517241379</v>
      </c>
      <c r="I61" s="3">
        <v>3.27760317995206</v>
      </c>
    </row>
    <row r="62">
      <c r="A62" s="1" t="s">
        <v>111</v>
      </c>
      <c r="B62" s="1">
        <v>95.0</v>
      </c>
      <c r="C62" s="1">
        <v>1129.0</v>
      </c>
      <c r="D62" s="1">
        <v>5.0</v>
      </c>
      <c r="E62" s="8">
        <v>0.200021052631578</v>
      </c>
      <c r="F62" s="1">
        <v>8.0</v>
      </c>
      <c r="G62" s="1">
        <v>11.0</v>
      </c>
      <c r="H62" s="3">
        <v>2.44656842105263</v>
      </c>
      <c r="I62" s="3">
        <v>2.70417762828527</v>
      </c>
    </row>
    <row r="63">
      <c r="A63" s="1" t="s">
        <v>75</v>
      </c>
      <c r="B63" s="1">
        <v>134.0</v>
      </c>
      <c r="C63" s="1">
        <v>1068.0</v>
      </c>
      <c r="D63" s="1">
        <v>4.0</v>
      </c>
      <c r="E63" s="8">
        <v>0.202925373134328</v>
      </c>
      <c r="F63" s="1">
        <v>7.0</v>
      </c>
      <c r="G63" s="1">
        <v>9.0</v>
      </c>
      <c r="H63" s="3">
        <v>1.93344776119403</v>
      </c>
      <c r="I63" s="3">
        <v>2.25732718571998</v>
      </c>
    </row>
    <row r="64">
      <c r="A64" s="1" t="s">
        <v>28</v>
      </c>
      <c r="B64" s="1">
        <v>80.0</v>
      </c>
      <c r="C64" s="1">
        <v>710.0</v>
      </c>
      <c r="D64" s="1">
        <v>4.0</v>
      </c>
      <c r="E64" s="8">
        <v>0.207575</v>
      </c>
      <c r="F64" s="1">
        <v>6.0</v>
      </c>
      <c r="G64" s="1">
        <v>9.0</v>
      </c>
      <c r="H64" s="3">
        <v>1.92795</v>
      </c>
      <c r="I64" s="3">
        <v>2.25371000741</v>
      </c>
    </row>
    <row r="65">
      <c r="A65" s="1" t="s">
        <v>124</v>
      </c>
      <c r="B65" s="1">
        <v>111.0</v>
      </c>
      <c r="C65" s="1">
        <v>1395.0</v>
      </c>
      <c r="D65" s="1">
        <v>4.0</v>
      </c>
      <c r="E65" s="8">
        <v>0.229981981981981</v>
      </c>
      <c r="F65" s="1">
        <v>7.0</v>
      </c>
      <c r="G65" s="1">
        <v>10.0</v>
      </c>
      <c r="H65" s="3">
        <v>2.11225225225225</v>
      </c>
      <c r="I65" s="3">
        <v>2.45986401319175</v>
      </c>
    </row>
    <row r="66">
      <c r="A66" s="1" t="s">
        <v>129</v>
      </c>
      <c r="B66" s="1">
        <v>107.0</v>
      </c>
      <c r="C66" s="1">
        <v>816.0</v>
      </c>
      <c r="D66" s="1">
        <v>4.0</v>
      </c>
      <c r="E66" s="8">
        <v>0.233887850467289</v>
      </c>
      <c r="F66" s="1">
        <v>7.0</v>
      </c>
      <c r="G66" s="1">
        <v>9.0</v>
      </c>
      <c r="H66" s="3">
        <v>2.10904672897196</v>
      </c>
      <c r="I66" s="3">
        <v>2.32914817922927</v>
      </c>
    </row>
    <row r="67">
      <c r="A67" s="1" t="s">
        <v>83</v>
      </c>
      <c r="B67" s="1">
        <v>128.0</v>
      </c>
      <c r="C67" s="1">
        <v>1015.0</v>
      </c>
      <c r="D67" s="1">
        <v>5.0</v>
      </c>
      <c r="E67" s="8">
        <v>0.2339375</v>
      </c>
      <c r="F67" s="1">
        <v>8.0</v>
      </c>
      <c r="G67" s="1">
        <v>11.0</v>
      </c>
      <c r="H67" s="3">
        <v>2.79925</v>
      </c>
      <c r="I67" s="3">
        <v>2.70786113704155</v>
      </c>
    </row>
    <row r="68">
      <c r="A68" s="1" t="s">
        <v>123</v>
      </c>
      <c r="B68" s="1">
        <v>117.0</v>
      </c>
      <c r="C68" s="1">
        <v>1156.0</v>
      </c>
      <c r="D68" s="1">
        <v>5.0</v>
      </c>
      <c r="E68" s="8">
        <v>0.247794871794871</v>
      </c>
      <c r="F68" s="1">
        <v>8.0</v>
      </c>
      <c r="G68" s="1">
        <v>11.0</v>
      </c>
      <c r="H68" s="3">
        <v>2.90700854700854</v>
      </c>
      <c r="I68" s="3">
        <v>2.84003167941801</v>
      </c>
    </row>
    <row r="69">
      <c r="A69" s="1" t="s">
        <v>120</v>
      </c>
      <c r="B69" s="1">
        <v>77.0</v>
      </c>
      <c r="C69" s="1">
        <v>977.0</v>
      </c>
      <c r="D69" s="1">
        <v>2.0</v>
      </c>
      <c r="E69" s="8">
        <v>0.254441558441558</v>
      </c>
      <c r="F69" s="1">
        <v>4.0</v>
      </c>
      <c r="G69" s="1">
        <v>7.0</v>
      </c>
      <c r="H69" s="3">
        <v>0.982103896103896</v>
      </c>
      <c r="I69" s="3">
        <v>1.54409364483207</v>
      </c>
    </row>
    <row r="70">
      <c r="A70" s="1" t="s">
        <v>77</v>
      </c>
      <c r="B70" s="1">
        <v>81.0</v>
      </c>
      <c r="C70" s="1">
        <v>1006.0</v>
      </c>
      <c r="D70" s="1">
        <v>14.0</v>
      </c>
      <c r="E70" s="8">
        <v>0.258567901234567</v>
      </c>
      <c r="F70" s="1">
        <v>22.0</v>
      </c>
      <c r="G70" s="1">
        <v>26.0</v>
      </c>
      <c r="H70" s="3">
        <v>9.46802469135802</v>
      </c>
      <c r="I70" s="3">
        <v>6.58872136188619</v>
      </c>
    </row>
    <row r="71">
      <c r="A71" s="1" t="s">
        <v>103</v>
      </c>
      <c r="B71" s="1">
        <v>125.0</v>
      </c>
      <c r="C71" s="1">
        <v>1078.0</v>
      </c>
      <c r="D71" s="1">
        <v>2.0</v>
      </c>
      <c r="E71" s="8">
        <v>0.271856</v>
      </c>
      <c r="F71" s="1">
        <v>4.0</v>
      </c>
      <c r="G71" s="1">
        <v>7.0</v>
      </c>
      <c r="H71" s="3">
        <v>1.058048</v>
      </c>
      <c r="I71" s="3">
        <v>1.58696390308538</v>
      </c>
    </row>
    <row r="72">
      <c r="A72" s="1" t="s">
        <v>105</v>
      </c>
      <c r="B72" s="1">
        <v>97.0</v>
      </c>
      <c r="C72" s="1">
        <v>1183.0</v>
      </c>
      <c r="D72" s="1">
        <v>3.0</v>
      </c>
      <c r="E72" s="8">
        <v>0.275381443298969</v>
      </c>
      <c r="F72" s="1">
        <v>7.0</v>
      </c>
      <c r="G72" s="1">
        <v>10.0</v>
      </c>
      <c r="H72" s="3">
        <v>1.75098969072164</v>
      </c>
      <c r="I72" s="3">
        <v>2.36845986102694</v>
      </c>
    </row>
    <row r="73">
      <c r="A73" s="1" t="s">
        <v>175</v>
      </c>
      <c r="B73" s="1">
        <v>91.0</v>
      </c>
      <c r="C73" s="1">
        <v>1398.0</v>
      </c>
      <c r="D73" s="1">
        <v>7.0</v>
      </c>
      <c r="E73" s="8">
        <v>0.277824175824175</v>
      </c>
      <c r="F73" s="1">
        <v>13.0</v>
      </c>
      <c r="G73" s="1">
        <v>17.0</v>
      </c>
      <c r="H73" s="3">
        <v>4.63901098901098</v>
      </c>
      <c r="I73" s="3">
        <v>4.24656488324051</v>
      </c>
    </row>
    <row r="74">
      <c r="A74" s="1" t="s">
        <v>183</v>
      </c>
      <c r="B74" s="1">
        <v>58.0</v>
      </c>
      <c r="C74" s="1">
        <v>715.0</v>
      </c>
      <c r="D74" s="1">
        <v>3.0</v>
      </c>
      <c r="E74" s="8">
        <v>0.280724137931034</v>
      </c>
      <c r="F74" s="1">
        <v>6.0</v>
      </c>
      <c r="G74" s="1">
        <v>9.0</v>
      </c>
      <c r="H74" s="3">
        <v>1.82486206896551</v>
      </c>
      <c r="I74" s="3">
        <v>2.23648025846245</v>
      </c>
    </row>
    <row r="75">
      <c r="A75" s="1" t="s">
        <v>172</v>
      </c>
      <c r="B75" s="1">
        <v>95.0</v>
      </c>
      <c r="C75" s="1">
        <v>1032.0</v>
      </c>
      <c r="D75" s="1">
        <v>12.0</v>
      </c>
      <c r="E75" s="8">
        <v>0.291621052631578</v>
      </c>
      <c r="F75" s="1">
        <v>20.0</v>
      </c>
      <c r="G75" s="1">
        <v>25.0</v>
      </c>
      <c r="H75" s="3">
        <v>8.60033684210526</v>
      </c>
      <c r="I75" s="3">
        <v>6.02551905536256</v>
      </c>
    </row>
    <row r="76">
      <c r="A76" s="1" t="s">
        <v>147</v>
      </c>
      <c r="B76" s="1">
        <v>52.0</v>
      </c>
      <c r="C76" s="1">
        <v>603.0</v>
      </c>
      <c r="D76" s="1">
        <v>3.0</v>
      </c>
      <c r="E76" s="8">
        <v>0.294692307692307</v>
      </c>
      <c r="F76" s="1">
        <v>6.0</v>
      </c>
      <c r="G76" s="1">
        <v>8.0</v>
      </c>
      <c r="H76" s="3">
        <v>1.75842307692307</v>
      </c>
      <c r="I76" s="3">
        <v>1.97705740302401</v>
      </c>
    </row>
    <row r="77">
      <c r="A77" s="1" t="s">
        <v>91</v>
      </c>
      <c r="B77" s="1">
        <v>115.0</v>
      </c>
      <c r="C77" s="1">
        <v>1905.0</v>
      </c>
      <c r="D77" s="1">
        <v>21.0</v>
      </c>
      <c r="E77" s="8">
        <v>0.296626086956521</v>
      </c>
      <c r="F77" s="1">
        <v>33.0</v>
      </c>
      <c r="G77" s="1">
        <v>40.0</v>
      </c>
      <c r="H77" s="3">
        <v>14.9227652173913</v>
      </c>
      <c r="I77" s="3">
        <v>10.3018073554282</v>
      </c>
    </row>
    <row r="78">
      <c r="A78" s="1" t="s">
        <v>155</v>
      </c>
      <c r="B78" s="1">
        <v>136.0</v>
      </c>
      <c r="C78" s="1">
        <v>1113.0</v>
      </c>
      <c r="D78" s="1">
        <v>5.0</v>
      </c>
      <c r="E78" s="8">
        <v>0.297044117647058</v>
      </c>
      <c r="F78" s="1">
        <v>10.0</v>
      </c>
      <c r="G78" s="1">
        <v>14.0</v>
      </c>
      <c r="H78" s="3">
        <v>3.30538235294117</v>
      </c>
      <c r="I78" s="3">
        <v>3.48073358997704</v>
      </c>
    </row>
    <row r="79">
      <c r="A79" s="1" t="s">
        <v>184</v>
      </c>
      <c r="B79" s="1">
        <v>64.0</v>
      </c>
      <c r="C79" s="1">
        <v>854.0</v>
      </c>
      <c r="D79" s="1">
        <v>3.0</v>
      </c>
      <c r="E79" s="8">
        <v>0.30484375</v>
      </c>
      <c r="F79" s="1">
        <v>7.0</v>
      </c>
      <c r="G79" s="1">
        <v>10.0</v>
      </c>
      <c r="H79" s="3">
        <v>1.9824375</v>
      </c>
      <c r="I79" s="3">
        <v>2.42013771479925</v>
      </c>
    </row>
    <row r="80">
      <c r="A80" s="1" t="s">
        <v>82</v>
      </c>
      <c r="B80" s="1">
        <v>97.0</v>
      </c>
      <c r="C80" s="1">
        <v>1243.0</v>
      </c>
      <c r="D80" s="1">
        <v>3.0</v>
      </c>
      <c r="E80" s="8">
        <v>0.312185567010309</v>
      </c>
      <c r="F80" s="1">
        <v>7.0</v>
      </c>
      <c r="G80" s="1">
        <v>10.0</v>
      </c>
      <c r="H80" s="3">
        <v>1.98771134020618</v>
      </c>
      <c r="I80" s="3">
        <v>2.45726642169525</v>
      </c>
    </row>
    <row r="81">
      <c r="A81" s="1" t="s">
        <v>64</v>
      </c>
      <c r="B81" s="1">
        <v>89.0</v>
      </c>
      <c r="C81" s="1">
        <v>1343.0</v>
      </c>
      <c r="D81" s="1">
        <v>13.0</v>
      </c>
      <c r="E81" s="8">
        <v>0.312651685393258</v>
      </c>
      <c r="F81" s="1">
        <v>23.0</v>
      </c>
      <c r="G81" s="1">
        <v>29.0</v>
      </c>
      <c r="H81" s="3">
        <v>9.50462921348314</v>
      </c>
      <c r="I81" s="3">
        <v>7.24596136468256</v>
      </c>
    </row>
    <row r="82">
      <c r="A82" s="1" t="s">
        <v>165</v>
      </c>
      <c r="B82" s="1">
        <v>122.0</v>
      </c>
      <c r="C82" s="1">
        <v>1782.0</v>
      </c>
      <c r="D82" s="1">
        <v>9.0</v>
      </c>
      <c r="E82" s="8">
        <v>0.314967213114754</v>
      </c>
      <c r="F82" s="1">
        <v>17.0</v>
      </c>
      <c r="G82" s="1">
        <v>22.0</v>
      </c>
      <c r="H82" s="3">
        <v>6.35868852459016</v>
      </c>
      <c r="I82" s="3">
        <v>5.55247381742111</v>
      </c>
    </row>
    <row r="83">
      <c r="A83" s="1" t="s">
        <v>87</v>
      </c>
      <c r="B83" s="1">
        <v>95.0</v>
      </c>
      <c r="C83" s="1">
        <v>1349.0</v>
      </c>
      <c r="D83" s="1">
        <v>9.0</v>
      </c>
      <c r="E83" s="8">
        <v>0.315368421052631</v>
      </c>
      <c r="F83" s="1">
        <v>18.0</v>
      </c>
      <c r="G83" s="1">
        <v>23.0</v>
      </c>
      <c r="H83" s="3">
        <v>6.52157894736842</v>
      </c>
      <c r="I83" s="3">
        <v>5.72028869639313</v>
      </c>
    </row>
    <row r="84">
      <c r="A84" s="1" t="s">
        <v>181</v>
      </c>
      <c r="B84" s="1">
        <v>105.0</v>
      </c>
      <c r="C84" s="1">
        <v>1737.0</v>
      </c>
      <c r="D84" s="1">
        <v>13.0</v>
      </c>
      <c r="E84" s="8">
        <v>0.319657142857142</v>
      </c>
      <c r="F84" s="1">
        <v>23.0</v>
      </c>
      <c r="G84" s="1">
        <v>30.0</v>
      </c>
      <c r="H84" s="3">
        <v>9.66805714285714</v>
      </c>
      <c r="I84" s="3">
        <v>7.294167574594</v>
      </c>
    </row>
    <row r="85">
      <c r="A85" s="1" t="s">
        <v>126</v>
      </c>
      <c r="B85" s="1">
        <v>107.0</v>
      </c>
      <c r="C85" s="1">
        <v>1415.0</v>
      </c>
      <c r="D85" s="1">
        <v>7.0</v>
      </c>
      <c r="E85" s="8">
        <v>0.322728971962616</v>
      </c>
      <c r="F85" s="1">
        <v>13.0</v>
      </c>
      <c r="G85" s="1">
        <v>18.0</v>
      </c>
      <c r="H85" s="3">
        <v>5.04695327102803</v>
      </c>
      <c r="I85" s="3">
        <v>4.45314139541246</v>
      </c>
    </row>
    <row r="86">
      <c r="A86" s="1" t="s">
        <v>162</v>
      </c>
      <c r="B86" s="1">
        <v>62.0</v>
      </c>
      <c r="C86" s="1">
        <v>1127.0</v>
      </c>
      <c r="D86" s="1">
        <v>4.0</v>
      </c>
      <c r="E86" s="8">
        <v>0.333322580645161</v>
      </c>
      <c r="F86" s="1">
        <v>9.0</v>
      </c>
      <c r="G86" s="1">
        <v>12.0</v>
      </c>
      <c r="H86" s="3">
        <v>2.8406129032258</v>
      </c>
      <c r="I86" s="3">
        <v>2.97194119441474</v>
      </c>
    </row>
    <row r="87">
      <c r="A87" s="1" t="s">
        <v>132</v>
      </c>
      <c r="B87" s="1">
        <v>84.0</v>
      </c>
      <c r="C87" s="1">
        <v>1015.0</v>
      </c>
      <c r="D87" s="1">
        <v>5.0</v>
      </c>
      <c r="E87" s="8">
        <v>0.346333333333333</v>
      </c>
      <c r="F87" s="1">
        <v>11.0</v>
      </c>
      <c r="G87" s="1">
        <v>15.0</v>
      </c>
      <c r="H87" s="3">
        <v>3.76188095238095</v>
      </c>
      <c r="I87" s="3">
        <v>3.63897412088823</v>
      </c>
    </row>
    <row r="88">
      <c r="A88" s="1" t="s">
        <v>102</v>
      </c>
      <c r="B88" s="1">
        <v>129.0</v>
      </c>
      <c r="C88" s="1">
        <v>996.0</v>
      </c>
      <c r="D88" s="1">
        <v>2.0</v>
      </c>
      <c r="E88" s="8">
        <v>0.347085271317829</v>
      </c>
      <c r="F88" s="1">
        <v>5.0</v>
      </c>
      <c r="G88" s="1">
        <v>7.0</v>
      </c>
      <c r="H88" s="3">
        <v>1.37792248062015</v>
      </c>
      <c r="I88" s="3">
        <v>1.78074873901685</v>
      </c>
    </row>
    <row r="89">
      <c r="A89" s="1" t="s">
        <v>179</v>
      </c>
      <c r="B89" s="1">
        <v>119.0</v>
      </c>
      <c r="C89" s="1">
        <v>1445.0</v>
      </c>
      <c r="D89" s="1">
        <v>3.0</v>
      </c>
      <c r="E89" s="8">
        <v>0.353025210084033</v>
      </c>
      <c r="F89" s="1">
        <v>8.0</v>
      </c>
      <c r="G89" s="1">
        <v>11.0</v>
      </c>
      <c r="H89" s="3">
        <v>2.28033613445378</v>
      </c>
      <c r="I89" s="3">
        <v>2.65390783143837</v>
      </c>
    </row>
    <row r="90">
      <c r="A90" s="1" t="s">
        <v>88</v>
      </c>
      <c r="B90" s="1">
        <v>133.0</v>
      </c>
      <c r="C90" s="1">
        <v>1457.0</v>
      </c>
      <c r="D90" s="1">
        <v>5.0</v>
      </c>
      <c r="E90" s="8">
        <v>0.353518796992481</v>
      </c>
      <c r="F90" s="1">
        <v>11.0</v>
      </c>
      <c r="G90" s="1">
        <v>14.0</v>
      </c>
      <c r="H90" s="3">
        <v>3.81112781954887</v>
      </c>
      <c r="I90" s="3">
        <v>3.5178722324457</v>
      </c>
    </row>
    <row r="91">
      <c r="A91" s="1" t="s">
        <v>154</v>
      </c>
      <c r="B91" s="1">
        <v>132.0</v>
      </c>
      <c r="C91" s="1">
        <v>920.0</v>
      </c>
      <c r="D91" s="1">
        <v>2.0</v>
      </c>
      <c r="E91" s="8">
        <v>0.360484848484848</v>
      </c>
      <c r="F91" s="1">
        <v>5.0</v>
      </c>
      <c r="G91" s="1">
        <v>8.0</v>
      </c>
      <c r="H91" s="3">
        <v>1.43646969696969</v>
      </c>
      <c r="I91" s="3">
        <v>1.96376114636959</v>
      </c>
    </row>
    <row r="92">
      <c r="A92" s="1" t="s">
        <v>173</v>
      </c>
      <c r="B92" s="1">
        <v>107.0</v>
      </c>
      <c r="C92" s="1">
        <v>1485.0</v>
      </c>
      <c r="D92" s="1">
        <v>10.0</v>
      </c>
      <c r="E92" s="8">
        <v>0.368672897196261</v>
      </c>
      <c r="F92" s="1">
        <v>20.0</v>
      </c>
      <c r="G92" s="1">
        <v>25.0</v>
      </c>
      <c r="H92" s="3">
        <v>8.14014953271028</v>
      </c>
      <c r="I92" s="3">
        <v>6.3086162097811</v>
      </c>
    </row>
    <row r="93">
      <c r="A93" s="1" t="s">
        <v>104</v>
      </c>
      <c r="B93" s="1">
        <v>126.0</v>
      </c>
      <c r="C93" s="1">
        <v>1327.0</v>
      </c>
      <c r="D93" s="1">
        <v>3.0</v>
      </c>
      <c r="E93" s="8">
        <v>0.372619047619047</v>
      </c>
      <c r="F93" s="1">
        <v>8.0</v>
      </c>
      <c r="G93" s="1">
        <v>11.0</v>
      </c>
      <c r="H93" s="3">
        <v>2.33104761904761</v>
      </c>
      <c r="I93" s="3">
        <v>2.63582664018282</v>
      </c>
    </row>
    <row r="94">
      <c r="A94" s="1" t="s">
        <v>56</v>
      </c>
      <c r="B94" s="1">
        <v>120.0</v>
      </c>
      <c r="C94" s="1">
        <v>958.0</v>
      </c>
      <c r="D94" s="1">
        <v>2.0</v>
      </c>
      <c r="E94" s="8">
        <v>0.381366666666666</v>
      </c>
      <c r="F94" s="1">
        <v>6.0</v>
      </c>
      <c r="G94" s="1">
        <v>8.0</v>
      </c>
      <c r="H94" s="3">
        <v>1.6003</v>
      </c>
      <c r="I94" s="3">
        <v>2.0762963605099</v>
      </c>
    </row>
    <row r="95">
      <c r="A95" s="1" t="s">
        <v>71</v>
      </c>
      <c r="B95" s="1">
        <v>112.0</v>
      </c>
      <c r="C95" s="1">
        <v>1116.0</v>
      </c>
      <c r="D95" s="1">
        <v>4.0</v>
      </c>
      <c r="E95" s="8">
        <v>0.383321428571428</v>
      </c>
      <c r="F95" s="1">
        <v>9.0</v>
      </c>
      <c r="G95" s="1">
        <v>12.0</v>
      </c>
      <c r="H95" s="3">
        <v>3.15608928571428</v>
      </c>
      <c r="I95" s="3">
        <v>2.90013738453386</v>
      </c>
    </row>
    <row r="96">
      <c r="A96" s="1" t="s">
        <v>164</v>
      </c>
      <c r="B96" s="1">
        <v>106.0</v>
      </c>
      <c r="C96" s="1">
        <v>1328.0</v>
      </c>
      <c r="D96" s="1">
        <v>6.0</v>
      </c>
      <c r="E96" s="8">
        <v>0.386792452830188</v>
      </c>
      <c r="F96" s="1">
        <v>14.0</v>
      </c>
      <c r="G96" s="1">
        <v>18.0</v>
      </c>
      <c r="H96" s="3">
        <v>5.0277358490566</v>
      </c>
      <c r="I96" s="3">
        <v>4.5858009491602</v>
      </c>
    </row>
    <row r="97">
      <c r="A97" s="1" t="s">
        <v>161</v>
      </c>
      <c r="B97" s="1">
        <v>105.0</v>
      </c>
      <c r="C97" s="1">
        <v>921.0</v>
      </c>
      <c r="D97" s="1">
        <v>2.0</v>
      </c>
      <c r="E97" s="8">
        <v>0.386971428571428</v>
      </c>
      <c r="F97" s="1">
        <v>6.0</v>
      </c>
      <c r="G97" s="1">
        <v>9.0</v>
      </c>
      <c r="H97" s="3">
        <v>1.6099238095238</v>
      </c>
      <c r="I97" s="3">
        <v>2.04555094311084</v>
      </c>
    </row>
    <row r="98">
      <c r="A98" s="1" t="s">
        <v>109</v>
      </c>
      <c r="B98" s="1">
        <v>124.0</v>
      </c>
      <c r="C98" s="1">
        <v>1258.0</v>
      </c>
      <c r="D98" s="1">
        <v>4.0</v>
      </c>
      <c r="E98" s="8">
        <v>0.388903225806451</v>
      </c>
      <c r="F98" s="1">
        <v>10.0</v>
      </c>
      <c r="G98" s="1">
        <v>14.0</v>
      </c>
      <c r="H98" s="3">
        <v>3.30469354838709</v>
      </c>
      <c r="I98" s="3">
        <v>3.2800251626135</v>
      </c>
    </row>
    <row r="99">
      <c r="A99" s="1" t="s">
        <v>108</v>
      </c>
      <c r="B99" s="1">
        <v>113.0</v>
      </c>
      <c r="C99" s="1">
        <v>1418.0</v>
      </c>
      <c r="D99" s="1">
        <v>4.0</v>
      </c>
      <c r="E99" s="8">
        <v>0.389185840707964</v>
      </c>
      <c r="F99" s="1">
        <v>9.0</v>
      </c>
      <c r="G99" s="1">
        <v>13.0</v>
      </c>
      <c r="H99" s="3">
        <v>3.26015929203539</v>
      </c>
      <c r="I99" s="3">
        <v>3.07661150971416</v>
      </c>
    </row>
    <row r="100">
      <c r="A100" s="1" t="s">
        <v>131</v>
      </c>
      <c r="B100" s="1">
        <v>75.0</v>
      </c>
      <c r="C100" s="1">
        <v>1173.0</v>
      </c>
      <c r="D100" s="1">
        <v>4.0</v>
      </c>
      <c r="E100" s="8">
        <v>0.39088</v>
      </c>
      <c r="F100" s="1">
        <v>11.0</v>
      </c>
      <c r="G100" s="1">
        <v>15.0</v>
      </c>
      <c r="H100" s="3">
        <v>3.43485333333333</v>
      </c>
      <c r="I100" s="3">
        <v>3.71245057140907</v>
      </c>
    </row>
    <row r="101">
      <c r="A101" s="1" t="s">
        <v>127</v>
      </c>
      <c r="B101" s="1">
        <v>101.0</v>
      </c>
      <c r="C101" s="1">
        <v>1133.0</v>
      </c>
      <c r="D101" s="1">
        <v>5.0</v>
      </c>
      <c r="E101" s="8">
        <v>0.404376237623762</v>
      </c>
      <c r="F101" s="1">
        <v>12.0</v>
      </c>
      <c r="G101" s="1">
        <v>16.0</v>
      </c>
      <c r="H101" s="3">
        <v>4.33312871287128</v>
      </c>
      <c r="I101" s="3">
        <v>3.92568282680864</v>
      </c>
    </row>
    <row r="102">
      <c r="A102" s="1" t="s">
        <v>156</v>
      </c>
      <c r="B102" s="1">
        <v>88.0</v>
      </c>
      <c r="C102" s="1">
        <v>808.0</v>
      </c>
      <c r="D102" s="1">
        <v>2.0</v>
      </c>
      <c r="E102" s="8">
        <v>0.41415909090909</v>
      </c>
      <c r="F102" s="1">
        <v>6.0</v>
      </c>
      <c r="G102" s="1">
        <v>10.0</v>
      </c>
      <c r="H102" s="3">
        <v>1.72520454545454</v>
      </c>
      <c r="I102" s="3">
        <v>2.18097376166478</v>
      </c>
    </row>
    <row r="103">
      <c r="A103" s="1" t="s">
        <v>178</v>
      </c>
      <c r="B103" s="1">
        <v>94.0</v>
      </c>
      <c r="C103" s="1">
        <v>1583.0</v>
      </c>
      <c r="D103" s="1">
        <v>3.0</v>
      </c>
      <c r="E103" s="8">
        <v>0.426702127659574</v>
      </c>
      <c r="F103" s="1">
        <v>9.0</v>
      </c>
      <c r="G103" s="1">
        <v>12.0</v>
      </c>
      <c r="H103" s="3">
        <v>2.72772340425531</v>
      </c>
      <c r="I103" s="3">
        <v>3.0055929298002</v>
      </c>
    </row>
    <row r="104">
      <c r="A104" s="1" t="s">
        <v>34</v>
      </c>
      <c r="B104" s="1">
        <v>113.0</v>
      </c>
      <c r="C104" s="1">
        <v>799.0</v>
      </c>
      <c r="D104" s="1">
        <v>1.0</v>
      </c>
      <c r="E104" s="8">
        <v>0.433858407079646</v>
      </c>
      <c r="F104" s="1">
        <v>4.0</v>
      </c>
      <c r="G104" s="1">
        <v>6.0</v>
      </c>
      <c r="H104" s="3">
        <v>0.934212389380531</v>
      </c>
      <c r="I104" s="3">
        <v>1.47589761169279</v>
      </c>
    </row>
    <row r="105">
      <c r="A105" s="1" t="s">
        <v>139</v>
      </c>
      <c r="B105" s="1">
        <v>98.0</v>
      </c>
      <c r="C105" s="1">
        <v>1270.0</v>
      </c>
      <c r="D105" s="1">
        <v>7.0</v>
      </c>
      <c r="E105" s="8">
        <v>0.439551020408163</v>
      </c>
      <c r="F105" s="1">
        <v>16.0</v>
      </c>
      <c r="G105" s="1">
        <v>21.0</v>
      </c>
      <c r="H105" s="3">
        <v>6.49779591836734</v>
      </c>
      <c r="I105" s="3">
        <v>5.19684315863905</v>
      </c>
    </row>
    <row r="106">
      <c r="A106" s="1" t="s">
        <v>30</v>
      </c>
      <c r="B106" s="1">
        <v>100.0</v>
      </c>
      <c r="C106" s="1">
        <v>1547.0</v>
      </c>
      <c r="D106" s="1">
        <v>8.0</v>
      </c>
      <c r="E106" s="8">
        <v>0.43962</v>
      </c>
      <c r="F106" s="1">
        <v>18.0</v>
      </c>
      <c r="G106" s="1">
        <v>22.0</v>
      </c>
      <c r="H106" s="3">
        <v>7.38192</v>
      </c>
      <c r="I106" s="3">
        <v>5.56214141438349</v>
      </c>
    </row>
    <row r="107">
      <c r="A107" s="1" t="s">
        <v>180</v>
      </c>
      <c r="B107" s="1">
        <v>95.0</v>
      </c>
      <c r="C107" s="1">
        <v>804.0</v>
      </c>
      <c r="D107" s="1">
        <v>1.0</v>
      </c>
      <c r="E107" s="8">
        <v>0.452126315789473</v>
      </c>
      <c r="F107" s="1">
        <v>4.0</v>
      </c>
      <c r="G107" s="1">
        <v>7.0</v>
      </c>
      <c r="H107" s="3">
        <v>0.959052631578947</v>
      </c>
      <c r="I107" s="3">
        <v>1.48056431182182</v>
      </c>
    </row>
    <row r="108">
      <c r="A108" s="1" t="s">
        <v>86</v>
      </c>
      <c r="B108" s="1">
        <v>97.0</v>
      </c>
      <c r="C108" s="1">
        <v>1192.0</v>
      </c>
      <c r="D108" s="1">
        <v>1.0</v>
      </c>
      <c r="E108" s="8">
        <v>0.462907216494845</v>
      </c>
      <c r="F108" s="1">
        <v>4.0</v>
      </c>
      <c r="G108" s="1">
        <v>7.0</v>
      </c>
      <c r="H108" s="3">
        <v>1.03865979381443</v>
      </c>
      <c r="I108" s="3">
        <v>1.53892794983235</v>
      </c>
    </row>
    <row r="109">
      <c r="A109" s="1" t="s">
        <v>116</v>
      </c>
      <c r="B109" s="1">
        <v>121.0</v>
      </c>
      <c r="C109" s="1">
        <v>1474.0</v>
      </c>
      <c r="D109" s="1">
        <v>6.0</v>
      </c>
      <c r="E109" s="8">
        <v>0.470644628099173</v>
      </c>
      <c r="F109" s="1">
        <v>15.0</v>
      </c>
      <c r="G109" s="1">
        <v>20.0</v>
      </c>
      <c r="H109" s="3">
        <v>5.97811570247933</v>
      </c>
      <c r="I109" s="3">
        <v>4.99698260224195</v>
      </c>
    </row>
    <row r="110">
      <c r="A110" s="1" t="s">
        <v>146</v>
      </c>
      <c r="B110" s="1">
        <v>65.0</v>
      </c>
      <c r="C110" s="1">
        <v>1301.0</v>
      </c>
      <c r="D110" s="1">
        <v>5.0</v>
      </c>
      <c r="E110" s="8">
        <v>0.471353846153846</v>
      </c>
      <c r="F110" s="1">
        <v>13.0</v>
      </c>
      <c r="G110" s="1">
        <v>18.0</v>
      </c>
      <c r="H110" s="3">
        <v>5.02646153846153</v>
      </c>
      <c r="I110" s="3">
        <v>4.29253105567162</v>
      </c>
    </row>
    <row r="111">
      <c r="A111" s="1" t="s">
        <v>97</v>
      </c>
      <c r="B111" s="1">
        <v>120.0</v>
      </c>
      <c r="C111" s="1">
        <v>1385.0</v>
      </c>
      <c r="D111" s="1">
        <v>10.0</v>
      </c>
      <c r="E111" s="8">
        <v>0.474283333333333</v>
      </c>
      <c r="F111" s="1">
        <v>23.0</v>
      </c>
      <c r="G111" s="1">
        <v>30.0</v>
      </c>
      <c r="H111" s="3">
        <v>9.9618</v>
      </c>
      <c r="I111" s="3">
        <v>7.15775621918861</v>
      </c>
    </row>
    <row r="112">
      <c r="A112" s="1" t="s">
        <v>78</v>
      </c>
      <c r="B112" s="1">
        <v>103.0</v>
      </c>
      <c r="C112" s="1">
        <v>1419.0</v>
      </c>
      <c r="D112" s="1">
        <v>2.0</v>
      </c>
      <c r="E112" s="8">
        <v>0.482796116504854</v>
      </c>
      <c r="F112" s="1">
        <v>7.0</v>
      </c>
      <c r="G112" s="1">
        <v>9.0</v>
      </c>
      <c r="H112" s="3">
        <v>2.08314563106796</v>
      </c>
      <c r="I112" s="3">
        <v>2.30542614643273</v>
      </c>
    </row>
    <row r="113">
      <c r="A113" s="1" t="s">
        <v>142</v>
      </c>
      <c r="B113" s="1">
        <v>92.0</v>
      </c>
      <c r="C113" s="1">
        <v>1467.0</v>
      </c>
      <c r="D113" s="1">
        <v>7.0</v>
      </c>
      <c r="E113" s="8">
        <v>0.484630434782608</v>
      </c>
      <c r="F113" s="1">
        <v>19.0</v>
      </c>
      <c r="G113" s="1">
        <v>25.0</v>
      </c>
      <c r="H113" s="3">
        <v>7.47378260869565</v>
      </c>
      <c r="I113" s="3">
        <v>6.06202072390789</v>
      </c>
    </row>
    <row r="114">
      <c r="A114" s="1" t="s">
        <v>140</v>
      </c>
      <c r="B114" s="1">
        <v>93.0</v>
      </c>
      <c r="C114" s="1">
        <v>1043.0</v>
      </c>
      <c r="D114" s="1">
        <v>2.0</v>
      </c>
      <c r="E114" s="8">
        <v>0.498086021505376</v>
      </c>
      <c r="F114" s="1">
        <v>7.0</v>
      </c>
      <c r="G114" s="1">
        <v>10.0</v>
      </c>
      <c r="H114" s="3">
        <v>2.1096129032258</v>
      </c>
      <c r="I114" s="3">
        <v>2.33331322433235</v>
      </c>
    </row>
    <row r="115">
      <c r="A115" s="1" t="s">
        <v>168</v>
      </c>
      <c r="B115" s="1">
        <v>71.0</v>
      </c>
      <c r="C115" s="1">
        <v>1154.0</v>
      </c>
      <c r="D115" s="1">
        <v>9.0</v>
      </c>
      <c r="E115" s="8">
        <v>0.504197183098591</v>
      </c>
      <c r="F115" s="1">
        <v>23.0</v>
      </c>
      <c r="G115" s="1">
        <v>29.0</v>
      </c>
      <c r="H115" s="3">
        <v>9.62059154929577</v>
      </c>
      <c r="I115" s="3">
        <v>7.29330919999208</v>
      </c>
    </row>
    <row r="116">
      <c r="A116" s="1" t="s">
        <v>145</v>
      </c>
      <c r="B116" s="1">
        <v>94.0</v>
      </c>
      <c r="C116" s="1">
        <v>1393.0</v>
      </c>
      <c r="D116" s="1">
        <v>3.0</v>
      </c>
      <c r="E116" s="8">
        <v>0.509595744680851</v>
      </c>
      <c r="F116" s="1">
        <v>10.0</v>
      </c>
      <c r="G116" s="1">
        <v>14.0</v>
      </c>
      <c r="H116" s="3">
        <v>3.39842553191489</v>
      </c>
      <c r="I116" s="3">
        <v>3.25229569816219</v>
      </c>
    </row>
    <row r="117">
      <c r="A117" s="1" t="s">
        <v>159</v>
      </c>
      <c r="B117" s="1">
        <v>130.0</v>
      </c>
      <c r="C117" s="1">
        <v>926.0</v>
      </c>
      <c r="D117" s="1">
        <v>1.0</v>
      </c>
      <c r="E117" s="8">
        <v>0.51436923076923</v>
      </c>
      <c r="F117" s="1">
        <v>5.0</v>
      </c>
      <c r="G117" s="1">
        <v>8.0</v>
      </c>
      <c r="H117" s="3">
        <v>1.35913846153846</v>
      </c>
      <c r="I117" s="3">
        <v>1.84275826601924</v>
      </c>
    </row>
    <row r="118">
      <c r="A118" s="1" t="s">
        <v>122</v>
      </c>
      <c r="B118" s="1">
        <v>101.0</v>
      </c>
      <c r="C118" s="1">
        <v>1295.0</v>
      </c>
      <c r="D118" s="1">
        <v>4.0</v>
      </c>
      <c r="E118" s="8">
        <v>0.520653465346534</v>
      </c>
      <c r="F118" s="1">
        <v>12.0</v>
      </c>
      <c r="G118" s="1">
        <v>16.0</v>
      </c>
      <c r="H118" s="3">
        <v>4.51243564356435</v>
      </c>
      <c r="I118" s="3">
        <v>4.00603799336377</v>
      </c>
    </row>
    <row r="119">
      <c r="A119" s="1" t="s">
        <v>117</v>
      </c>
      <c r="B119" s="1">
        <v>111.0</v>
      </c>
      <c r="C119" s="1">
        <v>846.0</v>
      </c>
      <c r="D119" s="1">
        <v>1.0</v>
      </c>
      <c r="E119" s="8">
        <v>0.527171171171171</v>
      </c>
      <c r="F119" s="1">
        <v>5.0</v>
      </c>
      <c r="G119" s="1">
        <v>6.0</v>
      </c>
      <c r="H119" s="3">
        <v>1.22846846846846</v>
      </c>
      <c r="I119" s="3">
        <v>1.61829083355827</v>
      </c>
    </row>
    <row r="120">
      <c r="A120" s="1" t="s">
        <v>148</v>
      </c>
      <c r="B120" s="1">
        <v>110.0</v>
      </c>
      <c r="C120" s="1">
        <v>1291.0</v>
      </c>
      <c r="D120" s="1">
        <v>2.0</v>
      </c>
      <c r="E120" s="8">
        <v>0.529036363636363</v>
      </c>
      <c r="F120" s="1">
        <v>8.0</v>
      </c>
      <c r="G120" s="1">
        <v>11.0</v>
      </c>
      <c r="H120" s="3">
        <v>2.4974</v>
      </c>
      <c r="I120" s="3">
        <v>2.7131720054042</v>
      </c>
    </row>
    <row r="121">
      <c r="A121" s="1" t="s">
        <v>186</v>
      </c>
      <c r="B121" s="1">
        <v>123.0</v>
      </c>
      <c r="C121" s="1">
        <v>1025.0</v>
      </c>
      <c r="D121" s="1">
        <v>1.0</v>
      </c>
      <c r="E121" s="8">
        <v>0.539967479674796</v>
      </c>
      <c r="F121" s="1">
        <v>5.0</v>
      </c>
      <c r="G121" s="1">
        <v>7.0</v>
      </c>
      <c r="H121" s="3">
        <v>1.29058536585365</v>
      </c>
      <c r="I121" s="3">
        <v>1.71610235697735</v>
      </c>
    </row>
    <row r="122">
      <c r="A122" s="1" t="s">
        <v>143</v>
      </c>
      <c r="B122" s="1">
        <v>107.0</v>
      </c>
      <c r="C122" s="1">
        <v>864.0</v>
      </c>
      <c r="D122" s="1">
        <v>1.0</v>
      </c>
      <c r="E122" s="8">
        <v>0.567196261682243</v>
      </c>
      <c r="F122" s="1">
        <v>5.0</v>
      </c>
      <c r="G122" s="1">
        <v>7.0</v>
      </c>
      <c r="H122" s="3">
        <v>1.31958878504672</v>
      </c>
      <c r="I122" s="3">
        <v>1.66323449632959</v>
      </c>
    </row>
    <row r="123">
      <c r="A123" s="1" t="s">
        <v>149</v>
      </c>
      <c r="B123" s="1">
        <v>77.0</v>
      </c>
      <c r="C123" s="1">
        <v>1134.0</v>
      </c>
      <c r="D123" s="1">
        <v>2.0</v>
      </c>
      <c r="E123" s="8">
        <v>0.567532467532467</v>
      </c>
      <c r="F123" s="1">
        <v>9.0</v>
      </c>
      <c r="G123" s="1">
        <v>12.0</v>
      </c>
      <c r="H123" s="3">
        <v>2.88148051948051</v>
      </c>
      <c r="I123" s="3">
        <v>3.01108857914188</v>
      </c>
    </row>
    <row r="124">
      <c r="A124" s="1" t="s">
        <v>119</v>
      </c>
      <c r="B124" s="1">
        <v>130.0</v>
      </c>
      <c r="C124" s="1">
        <v>1835.0</v>
      </c>
      <c r="D124" s="1">
        <v>5.0</v>
      </c>
      <c r="E124" s="8">
        <v>0.568292307692307</v>
      </c>
      <c r="F124" s="1">
        <v>16.0</v>
      </c>
      <c r="G124" s="1">
        <v>21.0</v>
      </c>
      <c r="H124" s="3">
        <v>6.16944615384615</v>
      </c>
      <c r="I124" s="3">
        <v>4.97350166081982</v>
      </c>
    </row>
    <row r="125">
      <c r="A125" s="1" t="s">
        <v>185</v>
      </c>
      <c r="B125" s="1">
        <v>102.0</v>
      </c>
      <c r="C125" s="1">
        <v>1501.0</v>
      </c>
      <c r="D125" s="1">
        <v>5.0</v>
      </c>
      <c r="E125" s="8">
        <v>0.583588235294117</v>
      </c>
      <c r="F125" s="1">
        <v>18.0</v>
      </c>
      <c r="G125" s="1">
        <v>23.0</v>
      </c>
      <c r="H125" s="3">
        <v>6.83613725490196</v>
      </c>
      <c r="I125" s="3">
        <v>5.72125311763629</v>
      </c>
    </row>
    <row r="126">
      <c r="A126" s="1" t="s">
        <v>36</v>
      </c>
      <c r="B126" s="1">
        <v>122.0</v>
      </c>
      <c r="C126" s="1">
        <v>907.0</v>
      </c>
      <c r="D126" s="1">
        <v>4.0</v>
      </c>
      <c r="E126" s="8">
        <v>0.588229508196721</v>
      </c>
      <c r="F126" s="1">
        <v>13.0</v>
      </c>
      <c r="G126" s="1">
        <v>18.0</v>
      </c>
      <c r="H126" s="3">
        <v>5.17627868852459</v>
      </c>
      <c r="I126" s="3">
        <v>4.32083301634298</v>
      </c>
    </row>
    <row r="127">
      <c r="A127" s="1" t="s">
        <v>113</v>
      </c>
      <c r="B127" s="1">
        <v>98.0</v>
      </c>
      <c r="C127" s="1">
        <v>1404.0</v>
      </c>
      <c r="D127" s="1">
        <v>2.0</v>
      </c>
      <c r="E127" s="8">
        <v>0.599183673469387</v>
      </c>
      <c r="F127" s="1">
        <v>9.0</v>
      </c>
      <c r="G127" s="1">
        <v>13.0</v>
      </c>
      <c r="H127" s="3">
        <v>3.00751020408163</v>
      </c>
      <c r="I127" s="3">
        <v>3.0414458036313</v>
      </c>
    </row>
    <row r="128">
      <c r="A128" s="1" t="s">
        <v>114</v>
      </c>
      <c r="B128" s="1">
        <v>128.0</v>
      </c>
      <c r="C128" s="1">
        <v>1741.0</v>
      </c>
      <c r="D128" s="1">
        <v>2.0</v>
      </c>
      <c r="E128" s="8">
        <v>0.61175</v>
      </c>
      <c r="F128" s="1">
        <v>9.0</v>
      </c>
      <c r="G128" s="1">
        <v>12.0</v>
      </c>
      <c r="H128" s="3">
        <v>3.123171875</v>
      </c>
      <c r="I128" s="3">
        <v>3.07193962574282</v>
      </c>
    </row>
    <row r="129">
      <c r="A129" s="1" t="s">
        <v>170</v>
      </c>
      <c r="B129" s="1">
        <v>98.0</v>
      </c>
      <c r="C129" s="1">
        <v>1167.0</v>
      </c>
      <c r="D129" s="1">
        <v>2.0</v>
      </c>
      <c r="E129" s="8">
        <v>0.612244897959183</v>
      </c>
      <c r="F129" s="1">
        <v>9.0</v>
      </c>
      <c r="G129" s="1">
        <v>12.0</v>
      </c>
      <c r="H129" s="3">
        <v>3.02471428571428</v>
      </c>
      <c r="I129" s="3">
        <v>2.99317956326699</v>
      </c>
    </row>
    <row r="130">
      <c r="A130" s="1" t="s">
        <v>69</v>
      </c>
      <c r="B130" s="1">
        <v>93.0</v>
      </c>
      <c r="C130" s="1">
        <v>1072.0</v>
      </c>
      <c r="D130" s="1">
        <v>2.0</v>
      </c>
      <c r="E130" s="8">
        <v>0.616258064516129</v>
      </c>
      <c r="F130" s="1">
        <v>9.0</v>
      </c>
      <c r="G130" s="1">
        <v>12.0</v>
      </c>
      <c r="H130" s="3">
        <v>3.0376129032258</v>
      </c>
      <c r="I130" s="3">
        <v>3.04120524718941</v>
      </c>
    </row>
    <row r="131">
      <c r="A131" s="1" t="s">
        <v>167</v>
      </c>
      <c r="B131" s="1">
        <v>107.0</v>
      </c>
      <c r="C131" s="1">
        <v>1301.0</v>
      </c>
      <c r="D131" s="1">
        <v>2.0</v>
      </c>
      <c r="E131" s="8">
        <v>0.649177570093457</v>
      </c>
      <c r="F131" s="1">
        <v>10.0</v>
      </c>
      <c r="G131" s="1">
        <v>14.0</v>
      </c>
      <c r="H131" s="3">
        <v>3.60168224299065</v>
      </c>
      <c r="I131" s="3">
        <v>3.43917466897268</v>
      </c>
    </row>
    <row r="132">
      <c r="A132" s="1" t="s">
        <v>134</v>
      </c>
      <c r="B132" s="1">
        <v>113.0</v>
      </c>
      <c r="C132" s="1">
        <v>1205.0</v>
      </c>
      <c r="D132" s="1">
        <v>1.0</v>
      </c>
      <c r="E132" s="8">
        <v>0.653256637168141</v>
      </c>
      <c r="F132" s="1">
        <v>7.0</v>
      </c>
      <c r="G132" s="1">
        <v>10.0</v>
      </c>
      <c r="H132" s="3">
        <v>2.1349203539823</v>
      </c>
      <c r="I132" s="3">
        <v>2.44025423795736</v>
      </c>
    </row>
    <row r="133">
      <c r="A133" s="1" t="s">
        <v>176</v>
      </c>
      <c r="B133" s="1">
        <v>115.0</v>
      </c>
      <c r="C133" s="1">
        <v>1393.0</v>
      </c>
      <c r="D133" s="1">
        <v>2.0</v>
      </c>
      <c r="E133" s="8">
        <v>0.693060869565217</v>
      </c>
      <c r="F133" s="1">
        <v>11.0</v>
      </c>
      <c r="G133" s="1">
        <v>15.0</v>
      </c>
      <c r="H133" s="3">
        <v>3.89646956521739</v>
      </c>
      <c r="I133" s="3">
        <v>3.53361665527898</v>
      </c>
    </row>
    <row r="134">
      <c r="A134" s="1" t="s">
        <v>125</v>
      </c>
      <c r="B134" s="1">
        <v>96.0</v>
      </c>
      <c r="C134" s="1">
        <v>996.0</v>
      </c>
      <c r="D134" s="1">
        <v>1.0</v>
      </c>
      <c r="E134" s="8">
        <v>0.694083333333333</v>
      </c>
      <c r="F134" s="1">
        <v>8.0</v>
      </c>
      <c r="G134" s="1">
        <v>11.0</v>
      </c>
      <c r="H134" s="3">
        <v>2.53179166666666</v>
      </c>
      <c r="I134" s="3">
        <v>2.71895922917769</v>
      </c>
    </row>
    <row r="135">
      <c r="A135" s="1" t="s">
        <v>144</v>
      </c>
      <c r="B135" s="1">
        <v>142.0</v>
      </c>
      <c r="C135" s="1">
        <v>1272.0</v>
      </c>
      <c r="D135" s="1">
        <v>1.0</v>
      </c>
      <c r="E135" s="8">
        <v>0.699140845070422</v>
      </c>
      <c r="F135" s="1">
        <v>8.0</v>
      </c>
      <c r="G135" s="1">
        <v>11.0</v>
      </c>
      <c r="H135" s="3">
        <v>2.57695774647887</v>
      </c>
      <c r="I135" s="3">
        <v>2.75899426172705</v>
      </c>
    </row>
    <row r="136">
      <c r="A136" s="1" t="s">
        <v>89</v>
      </c>
      <c r="B136" s="1">
        <v>105.0</v>
      </c>
      <c r="C136" s="1">
        <v>1223.0</v>
      </c>
      <c r="D136" s="1">
        <v>1.0</v>
      </c>
      <c r="E136" s="8">
        <v>0.702495238095238</v>
      </c>
      <c r="F136" s="1">
        <v>8.0</v>
      </c>
      <c r="G136" s="1">
        <v>11.0</v>
      </c>
      <c r="H136" s="3">
        <v>2.51158095238095</v>
      </c>
      <c r="I136" s="3">
        <v>2.6104404254599</v>
      </c>
    </row>
    <row r="137">
      <c r="A137" s="1" t="s">
        <v>158</v>
      </c>
      <c r="B137" s="1">
        <v>140.0</v>
      </c>
      <c r="C137" s="1">
        <v>1266.0</v>
      </c>
      <c r="D137" s="1">
        <v>1.0</v>
      </c>
      <c r="E137" s="8">
        <v>0.712157142857142</v>
      </c>
      <c r="F137" s="1">
        <v>8.0</v>
      </c>
      <c r="G137" s="1">
        <v>11.0</v>
      </c>
      <c r="H137" s="3">
        <v>2.47737142857142</v>
      </c>
      <c r="I137" s="3">
        <v>2.59429086468966</v>
      </c>
    </row>
    <row r="138">
      <c r="A138" s="1" t="s">
        <v>58</v>
      </c>
      <c r="B138" s="1">
        <v>97.0</v>
      </c>
      <c r="C138" s="1">
        <v>1093.0</v>
      </c>
      <c r="D138" s="1">
        <v>1.0</v>
      </c>
      <c r="E138" s="8">
        <v>0.761731958762886</v>
      </c>
      <c r="F138" s="1">
        <v>9.0</v>
      </c>
      <c r="G138" s="1">
        <v>12.0</v>
      </c>
      <c r="H138" s="3">
        <v>3.03358762886597</v>
      </c>
      <c r="I138" s="3">
        <v>2.98144877863779</v>
      </c>
    </row>
    <row r="139">
      <c r="A139" s="1" t="s">
        <v>70</v>
      </c>
      <c r="B139" s="1">
        <v>123.0</v>
      </c>
      <c r="C139" s="1">
        <v>1157.0</v>
      </c>
      <c r="D139" s="1">
        <v>1.0</v>
      </c>
      <c r="E139" s="8">
        <v>0.807121951219512</v>
      </c>
      <c r="F139" s="1">
        <v>11.0</v>
      </c>
      <c r="G139" s="1">
        <v>15.0</v>
      </c>
      <c r="H139" s="3">
        <v>3.78035772357723</v>
      </c>
      <c r="I139" s="3">
        <v>3.49761608042071</v>
      </c>
    </row>
    <row r="140">
      <c r="A140" s="1" t="s">
        <v>166</v>
      </c>
      <c r="B140" s="1">
        <v>129.0</v>
      </c>
      <c r="C140" s="1">
        <v>1420.0</v>
      </c>
      <c r="D140" s="1">
        <v>1.0</v>
      </c>
      <c r="E140" s="8">
        <v>0.863286821705426</v>
      </c>
      <c r="F140" s="1">
        <v>21.0</v>
      </c>
      <c r="G140" s="1">
        <v>26.0</v>
      </c>
      <c r="H140" s="3">
        <v>7.88499224806201</v>
      </c>
      <c r="I140" s="3">
        <v>6.73845941091122</v>
      </c>
    </row>
    <row r="141">
      <c r="A141" s="1" t="s">
        <v>174</v>
      </c>
      <c r="B141" s="1">
        <v>91.0</v>
      </c>
      <c r="C141" s="1">
        <v>1222.0</v>
      </c>
      <c r="D141" s="1">
        <v>0.0</v>
      </c>
      <c r="E141" s="8">
        <v>1.0</v>
      </c>
      <c r="F141" s="1">
        <v>7.0</v>
      </c>
      <c r="G141" s="1">
        <v>10.0</v>
      </c>
      <c r="H141" s="3">
        <v>1.86815384615384</v>
      </c>
      <c r="I141" s="3">
        <v>2.39770978146054</v>
      </c>
    </row>
    <row r="142">
      <c r="A142" s="1" t="s">
        <v>80</v>
      </c>
      <c r="B142" s="1">
        <v>131.0</v>
      </c>
      <c r="C142" s="1">
        <v>1129.0</v>
      </c>
      <c r="D142" s="1">
        <v>0.0</v>
      </c>
      <c r="E142" s="8">
        <v>1.0</v>
      </c>
      <c r="F142" s="1">
        <v>5.0</v>
      </c>
      <c r="G142" s="1">
        <v>7.0</v>
      </c>
      <c r="H142" s="3">
        <v>1.23867175572519</v>
      </c>
      <c r="I142" s="3">
        <v>1.78975815860732</v>
      </c>
    </row>
    <row r="143">
      <c r="A143" s="1" t="s">
        <v>163</v>
      </c>
      <c r="B143" s="1">
        <v>134.0</v>
      </c>
      <c r="C143" s="1">
        <v>978.0</v>
      </c>
      <c r="D143" s="1">
        <v>0.0</v>
      </c>
      <c r="E143" s="8">
        <v>1.0</v>
      </c>
      <c r="F143" s="1">
        <v>5.0</v>
      </c>
      <c r="G143" s="1">
        <v>8.0</v>
      </c>
      <c r="H143" s="3">
        <v>1.02488059701492</v>
      </c>
      <c r="I143" s="3">
        <v>1.70589637681469</v>
      </c>
    </row>
    <row r="144">
      <c r="A144" s="1" t="s">
        <v>187</v>
      </c>
      <c r="B144" s="1">
        <v>99.0</v>
      </c>
      <c r="C144" s="1">
        <v>905.0</v>
      </c>
      <c r="D144" s="1">
        <v>0.0</v>
      </c>
      <c r="E144" s="8">
        <v>1.0</v>
      </c>
      <c r="F144" s="1">
        <v>6.0</v>
      </c>
      <c r="G144" s="1">
        <v>8.0</v>
      </c>
      <c r="H144" s="3">
        <v>1.67032323232323</v>
      </c>
      <c r="I144" s="3">
        <v>2.13618656180446</v>
      </c>
    </row>
    <row r="145">
      <c r="A145" s="1" t="s">
        <v>152</v>
      </c>
      <c r="B145" s="1">
        <v>91.0</v>
      </c>
      <c r="C145" s="1">
        <v>949.0</v>
      </c>
      <c r="D145" s="1">
        <v>0.0</v>
      </c>
      <c r="E145" s="8">
        <v>1.0</v>
      </c>
      <c r="F145" s="1">
        <v>5.0</v>
      </c>
      <c r="G145" s="1">
        <v>7.0</v>
      </c>
      <c r="H145" s="3">
        <v>1.29698901098901</v>
      </c>
      <c r="I145" s="3">
        <v>1.7717675255841</v>
      </c>
    </row>
    <row r="146">
      <c r="A146" s="1" t="s">
        <v>92</v>
      </c>
      <c r="B146" s="1">
        <v>85.0</v>
      </c>
      <c r="C146" s="1">
        <v>764.0</v>
      </c>
      <c r="D146" s="1">
        <v>0.0</v>
      </c>
      <c r="E146" s="8">
        <v>1.0</v>
      </c>
      <c r="F146" s="1">
        <v>4.0</v>
      </c>
      <c r="G146" s="1">
        <v>7.0</v>
      </c>
      <c r="H146" s="3">
        <v>1.04781176470588</v>
      </c>
      <c r="I146" s="3">
        <v>1.58102607407987</v>
      </c>
    </row>
    <row r="147">
      <c r="A147" s="1" t="s">
        <v>63</v>
      </c>
      <c r="B147" s="1">
        <v>126.0</v>
      </c>
      <c r="C147" s="1">
        <v>968.0</v>
      </c>
      <c r="D147" s="1">
        <v>0.0</v>
      </c>
      <c r="E147" s="8">
        <v>1.0</v>
      </c>
      <c r="F147" s="1">
        <v>6.0</v>
      </c>
      <c r="G147" s="1">
        <v>9.0</v>
      </c>
      <c r="H147" s="3">
        <v>1.86066666666666</v>
      </c>
      <c r="I147" s="3">
        <v>2.15654386932365</v>
      </c>
    </row>
    <row r="148">
      <c r="A148" s="1" t="s">
        <v>151</v>
      </c>
      <c r="B148" s="1">
        <v>78.0</v>
      </c>
      <c r="C148" s="1">
        <v>927.0</v>
      </c>
      <c r="D148" s="1">
        <v>0.0</v>
      </c>
      <c r="E148" s="8">
        <v>1.0</v>
      </c>
      <c r="F148" s="1">
        <v>6.0</v>
      </c>
      <c r="G148" s="1">
        <v>8.0</v>
      </c>
      <c r="H148" s="3">
        <v>1.66258974358974</v>
      </c>
      <c r="I148" s="3">
        <v>2.00730089497606</v>
      </c>
    </row>
    <row r="149">
      <c r="A149" s="1" t="s">
        <v>99</v>
      </c>
      <c r="B149" s="1">
        <v>113.0</v>
      </c>
      <c r="C149" s="1">
        <v>945.0</v>
      </c>
      <c r="D149" s="1">
        <v>0.0</v>
      </c>
      <c r="E149" s="8">
        <v>1.0</v>
      </c>
      <c r="F149" s="1">
        <v>5.0</v>
      </c>
      <c r="G149" s="1">
        <v>7.0</v>
      </c>
      <c r="H149" s="3">
        <v>1.16237168141592</v>
      </c>
      <c r="I149" s="3">
        <v>1.67818065306772</v>
      </c>
    </row>
    <row r="150">
      <c r="A150" s="1" t="s">
        <v>153</v>
      </c>
      <c r="B150" s="1">
        <v>113.0</v>
      </c>
      <c r="C150" s="1">
        <v>888.0</v>
      </c>
      <c r="D150" s="1">
        <v>0.0</v>
      </c>
      <c r="E150" s="8">
        <v>1.0</v>
      </c>
      <c r="F150" s="1">
        <v>3.0</v>
      </c>
      <c r="G150" s="1">
        <v>5.0</v>
      </c>
      <c r="H150" s="3">
        <v>0.713132743362831</v>
      </c>
      <c r="I150" s="3">
        <v>1.1852967628436</v>
      </c>
    </row>
    <row r="151">
      <c r="A151" s="1" t="s">
        <v>188</v>
      </c>
      <c r="B151" s="1">
        <v>73.0</v>
      </c>
      <c r="C151" s="1">
        <v>543.0</v>
      </c>
      <c r="D151" s="1">
        <v>0.0</v>
      </c>
      <c r="E151" s="8">
        <v>1.0</v>
      </c>
      <c r="F151" s="1">
        <v>4.0</v>
      </c>
      <c r="G151" s="1">
        <v>7.0</v>
      </c>
      <c r="H151" s="3">
        <v>1.12950684931506</v>
      </c>
      <c r="I151" s="3">
        <v>1.59793377820926</v>
      </c>
    </row>
    <row r="152">
      <c r="A152" s="1" t="s">
        <v>182</v>
      </c>
      <c r="B152" s="1">
        <v>64.0</v>
      </c>
      <c r="C152" s="1">
        <v>757.0</v>
      </c>
      <c r="D152" s="1">
        <v>0.0</v>
      </c>
      <c r="E152" s="8">
        <v>1.0</v>
      </c>
      <c r="F152" s="1">
        <v>6.0</v>
      </c>
      <c r="G152" s="1">
        <v>10.0</v>
      </c>
      <c r="H152" s="3">
        <v>1.94121875</v>
      </c>
      <c r="I152" s="3">
        <v>2.23351203593095</v>
      </c>
    </row>
    <row r="153">
      <c r="A153" s="1" t="s">
        <v>115</v>
      </c>
      <c r="B153" s="1">
        <v>65.0</v>
      </c>
      <c r="C153" s="1">
        <v>669.0</v>
      </c>
      <c r="D153" s="1">
        <v>0.0</v>
      </c>
      <c r="E153" s="8">
        <v>1.0</v>
      </c>
      <c r="F153" s="1">
        <v>6.0</v>
      </c>
      <c r="G153" s="1">
        <v>9.0</v>
      </c>
      <c r="H153" s="3">
        <v>2.008</v>
      </c>
      <c r="I153" s="3">
        <v>2.26807895670458</v>
      </c>
    </row>
    <row r="154">
      <c r="A154" s="1" t="s">
        <v>189</v>
      </c>
      <c r="B154" s="1">
        <v>68.0</v>
      </c>
      <c r="C154" s="1">
        <v>877.0</v>
      </c>
      <c r="D154" s="1">
        <v>0.0</v>
      </c>
      <c r="E154" s="8">
        <v>1.0</v>
      </c>
      <c r="F154" s="1">
        <v>6.0</v>
      </c>
      <c r="G154" s="1">
        <v>8.0</v>
      </c>
      <c r="H154" s="3">
        <v>1.63470588235294</v>
      </c>
      <c r="I154" s="3">
        <v>1.99495722391722</v>
      </c>
    </row>
    <row r="155">
      <c r="E155" s="13"/>
      <c r="H155" s="16"/>
      <c r="I155" s="16"/>
    </row>
    <row r="156">
      <c r="E156" s="13"/>
      <c r="H156" s="16"/>
      <c r="I156" s="16"/>
    </row>
    <row r="157">
      <c r="E157" s="13"/>
      <c r="H157" s="16"/>
      <c r="I157" s="16"/>
    </row>
    <row r="158">
      <c r="E158" s="13"/>
      <c r="H158" s="16"/>
      <c r="I158" s="16"/>
    </row>
    <row r="159">
      <c r="E159" s="13"/>
      <c r="H159" s="16"/>
      <c r="I159" s="16"/>
    </row>
    <row r="160">
      <c r="E160" s="13"/>
      <c r="H160" s="16"/>
      <c r="I160" s="16"/>
    </row>
    <row r="161">
      <c r="E161" s="13"/>
      <c r="H161" s="16"/>
      <c r="I161" s="16"/>
    </row>
    <row r="162">
      <c r="E162" s="13"/>
      <c r="H162" s="16"/>
      <c r="I162" s="16"/>
    </row>
    <row r="163">
      <c r="E163" s="13"/>
      <c r="H163" s="16"/>
      <c r="I163" s="16"/>
    </row>
    <row r="164">
      <c r="E164" s="13"/>
      <c r="H164" s="16"/>
      <c r="I164" s="16"/>
    </row>
    <row r="165">
      <c r="E165" s="13"/>
      <c r="H165" s="16"/>
      <c r="I165" s="16"/>
    </row>
    <row r="166">
      <c r="E166" s="13"/>
      <c r="H166" s="16"/>
      <c r="I166" s="16"/>
    </row>
    <row r="167">
      <c r="E167" s="13"/>
      <c r="H167" s="16"/>
      <c r="I167" s="16"/>
    </row>
    <row r="168">
      <c r="E168" s="13"/>
      <c r="H168" s="16"/>
      <c r="I168" s="16"/>
    </row>
    <row r="169">
      <c r="E169" s="13"/>
      <c r="H169" s="16"/>
      <c r="I169" s="16"/>
    </row>
    <row r="170">
      <c r="E170" s="13"/>
      <c r="H170" s="16"/>
      <c r="I170" s="16"/>
    </row>
    <row r="171">
      <c r="E171" s="13"/>
      <c r="H171" s="16"/>
      <c r="I171" s="16"/>
    </row>
    <row r="172">
      <c r="E172" s="13"/>
      <c r="H172" s="16"/>
      <c r="I172" s="16"/>
    </row>
    <row r="173">
      <c r="E173" s="13"/>
      <c r="H173" s="16"/>
      <c r="I173" s="16"/>
    </row>
    <row r="174">
      <c r="E174" s="13"/>
      <c r="H174" s="16"/>
      <c r="I174" s="16"/>
    </row>
    <row r="175">
      <c r="E175" s="13"/>
      <c r="H175" s="16"/>
      <c r="I175" s="16"/>
    </row>
    <row r="176">
      <c r="E176" s="13"/>
      <c r="H176" s="16"/>
      <c r="I176" s="16"/>
    </row>
    <row r="177">
      <c r="E177" s="13"/>
      <c r="H177" s="16"/>
      <c r="I177" s="16"/>
    </row>
    <row r="178">
      <c r="E178" s="13"/>
      <c r="H178" s="16"/>
      <c r="I178" s="16"/>
    </row>
    <row r="179">
      <c r="E179" s="13"/>
      <c r="H179" s="16"/>
      <c r="I179" s="16"/>
    </row>
    <row r="180">
      <c r="E180" s="13"/>
      <c r="H180" s="16"/>
      <c r="I180" s="16"/>
    </row>
    <row r="181">
      <c r="E181" s="13"/>
      <c r="H181" s="16"/>
      <c r="I181" s="16"/>
    </row>
    <row r="182">
      <c r="E182" s="13"/>
      <c r="H182" s="16"/>
      <c r="I182" s="16"/>
    </row>
    <row r="183">
      <c r="E183" s="13"/>
      <c r="H183" s="16"/>
      <c r="I183" s="16"/>
    </row>
    <row r="184">
      <c r="E184" s="13"/>
      <c r="H184" s="16"/>
      <c r="I184" s="16"/>
    </row>
    <row r="185">
      <c r="E185" s="13"/>
      <c r="H185" s="16"/>
      <c r="I185" s="16"/>
    </row>
    <row r="186">
      <c r="E186" s="13"/>
      <c r="H186" s="16"/>
      <c r="I186" s="16"/>
    </row>
    <row r="187">
      <c r="E187" s="13"/>
      <c r="H187" s="16"/>
      <c r="I187" s="16"/>
    </row>
    <row r="188">
      <c r="E188" s="13"/>
      <c r="H188" s="16"/>
      <c r="I188" s="16"/>
    </row>
    <row r="189">
      <c r="E189" s="13"/>
      <c r="H189" s="16"/>
      <c r="I189" s="16"/>
    </row>
    <row r="190">
      <c r="E190" s="13"/>
      <c r="H190" s="16"/>
      <c r="I190" s="16"/>
    </row>
    <row r="191">
      <c r="E191" s="13"/>
      <c r="H191" s="16"/>
      <c r="I191" s="16"/>
    </row>
    <row r="192">
      <c r="E192" s="13"/>
      <c r="H192" s="16"/>
      <c r="I192" s="16"/>
    </row>
    <row r="193">
      <c r="E193" s="13"/>
      <c r="H193" s="16"/>
      <c r="I193" s="16"/>
    </row>
    <row r="194">
      <c r="E194" s="13"/>
      <c r="H194" s="16"/>
      <c r="I194" s="16"/>
    </row>
    <row r="195">
      <c r="E195" s="13"/>
      <c r="H195" s="16"/>
      <c r="I195" s="16"/>
    </row>
    <row r="196">
      <c r="E196" s="13"/>
      <c r="H196" s="16"/>
      <c r="I196" s="16"/>
    </row>
    <row r="197">
      <c r="E197" s="13"/>
      <c r="H197" s="16"/>
      <c r="I197" s="16"/>
    </row>
    <row r="198">
      <c r="E198" s="13"/>
      <c r="H198" s="16"/>
      <c r="I198" s="16"/>
    </row>
    <row r="199">
      <c r="E199" s="13"/>
      <c r="H199" s="16"/>
      <c r="I199" s="16"/>
    </row>
    <row r="200">
      <c r="E200" s="13"/>
      <c r="H200" s="16"/>
      <c r="I200" s="16"/>
    </row>
    <row r="201">
      <c r="E201" s="13"/>
      <c r="H201" s="16"/>
      <c r="I201" s="16"/>
    </row>
    <row r="202">
      <c r="E202" s="13"/>
      <c r="H202" s="16"/>
      <c r="I202" s="16"/>
    </row>
    <row r="203">
      <c r="E203" s="13"/>
      <c r="H203" s="16"/>
      <c r="I203" s="16"/>
    </row>
    <row r="204">
      <c r="E204" s="13"/>
      <c r="H204" s="16"/>
      <c r="I204" s="16"/>
    </row>
    <row r="205">
      <c r="E205" s="13"/>
      <c r="H205" s="16"/>
      <c r="I205" s="16"/>
    </row>
    <row r="206">
      <c r="E206" s="13"/>
      <c r="H206" s="16"/>
      <c r="I206" s="16"/>
    </row>
    <row r="207">
      <c r="E207" s="13"/>
      <c r="H207" s="16"/>
      <c r="I207" s="16"/>
    </row>
    <row r="208">
      <c r="E208" s="13"/>
      <c r="H208" s="16"/>
      <c r="I208" s="16"/>
    </row>
    <row r="209">
      <c r="E209" s="13"/>
      <c r="H209" s="16"/>
      <c r="I209" s="16"/>
    </row>
    <row r="210">
      <c r="E210" s="13"/>
      <c r="H210" s="16"/>
      <c r="I210" s="16"/>
    </row>
    <row r="211">
      <c r="E211" s="13"/>
      <c r="H211" s="16"/>
      <c r="I211" s="16"/>
    </row>
    <row r="212">
      <c r="E212" s="13"/>
      <c r="H212" s="16"/>
      <c r="I212" s="16"/>
    </row>
    <row r="213">
      <c r="E213" s="13"/>
      <c r="H213" s="16"/>
      <c r="I213" s="16"/>
    </row>
    <row r="214">
      <c r="E214" s="13"/>
      <c r="H214" s="16"/>
      <c r="I214" s="16"/>
    </row>
    <row r="215">
      <c r="E215" s="13"/>
      <c r="H215" s="16"/>
      <c r="I215" s="16"/>
    </row>
    <row r="216">
      <c r="E216" s="13"/>
      <c r="H216" s="16"/>
      <c r="I216" s="16"/>
    </row>
    <row r="217">
      <c r="E217" s="13"/>
      <c r="H217" s="16"/>
      <c r="I217" s="16"/>
    </row>
    <row r="218">
      <c r="E218" s="13"/>
      <c r="H218" s="16"/>
      <c r="I218" s="16"/>
    </row>
    <row r="219">
      <c r="E219" s="13"/>
      <c r="H219" s="16"/>
      <c r="I219" s="16"/>
    </row>
    <row r="220">
      <c r="E220" s="13"/>
      <c r="H220" s="16"/>
      <c r="I220" s="16"/>
    </row>
    <row r="221">
      <c r="E221" s="13"/>
      <c r="H221" s="16"/>
      <c r="I221" s="16"/>
    </row>
    <row r="222">
      <c r="E222" s="13"/>
      <c r="H222" s="16"/>
      <c r="I222" s="16"/>
    </row>
    <row r="223">
      <c r="E223" s="13"/>
      <c r="H223" s="16"/>
      <c r="I223" s="16"/>
    </row>
    <row r="224">
      <c r="E224" s="13"/>
      <c r="H224" s="16"/>
      <c r="I224" s="16"/>
    </row>
    <row r="225">
      <c r="E225" s="13"/>
      <c r="H225" s="16"/>
      <c r="I225" s="16"/>
    </row>
    <row r="226">
      <c r="E226" s="13"/>
      <c r="H226" s="16"/>
      <c r="I226" s="16"/>
    </row>
    <row r="227">
      <c r="E227" s="13"/>
      <c r="H227" s="16"/>
      <c r="I227" s="16"/>
    </row>
    <row r="228">
      <c r="E228" s="13"/>
      <c r="H228" s="16"/>
      <c r="I228" s="16"/>
    </row>
    <row r="229">
      <c r="E229" s="13"/>
      <c r="H229" s="16"/>
      <c r="I229" s="16"/>
    </row>
    <row r="230">
      <c r="E230" s="13"/>
      <c r="H230" s="16"/>
      <c r="I230" s="16"/>
    </row>
    <row r="231">
      <c r="E231" s="13"/>
      <c r="H231" s="16"/>
      <c r="I231" s="16"/>
    </row>
    <row r="232">
      <c r="E232" s="13"/>
      <c r="H232" s="16"/>
      <c r="I232" s="16"/>
    </row>
    <row r="233">
      <c r="E233" s="13"/>
      <c r="H233" s="16"/>
      <c r="I233" s="16"/>
    </row>
    <row r="234">
      <c r="E234" s="13"/>
      <c r="H234" s="16"/>
      <c r="I234" s="16"/>
    </row>
    <row r="235">
      <c r="E235" s="13"/>
      <c r="H235" s="16"/>
      <c r="I235" s="16"/>
    </row>
    <row r="236">
      <c r="E236" s="13"/>
      <c r="H236" s="16"/>
      <c r="I236" s="16"/>
    </row>
    <row r="237">
      <c r="E237" s="13"/>
      <c r="H237" s="16"/>
      <c r="I237" s="16"/>
    </row>
    <row r="238">
      <c r="E238" s="13"/>
      <c r="H238" s="16"/>
      <c r="I238" s="16"/>
    </row>
    <row r="239">
      <c r="E239" s="13"/>
      <c r="H239" s="16"/>
      <c r="I239" s="16"/>
    </row>
    <row r="240">
      <c r="E240" s="13"/>
      <c r="H240" s="16"/>
      <c r="I240" s="16"/>
    </row>
    <row r="241">
      <c r="E241" s="13"/>
      <c r="H241" s="16"/>
      <c r="I241" s="16"/>
    </row>
    <row r="242">
      <c r="E242" s="13"/>
      <c r="H242" s="16"/>
      <c r="I242" s="16"/>
    </row>
    <row r="243">
      <c r="E243" s="13"/>
      <c r="H243" s="16"/>
      <c r="I243" s="16"/>
    </row>
    <row r="244">
      <c r="E244" s="13"/>
      <c r="H244" s="16"/>
      <c r="I244" s="16"/>
    </row>
    <row r="245">
      <c r="E245" s="13"/>
      <c r="H245" s="16"/>
      <c r="I245" s="16"/>
    </row>
    <row r="246">
      <c r="E246" s="13"/>
      <c r="H246" s="16"/>
      <c r="I246" s="16"/>
    </row>
    <row r="247">
      <c r="E247" s="13"/>
      <c r="H247" s="16"/>
      <c r="I247" s="16"/>
    </row>
    <row r="248">
      <c r="E248" s="13"/>
      <c r="H248" s="16"/>
      <c r="I248" s="16"/>
    </row>
    <row r="249">
      <c r="E249" s="13"/>
      <c r="H249" s="16"/>
      <c r="I249" s="16"/>
    </row>
    <row r="250">
      <c r="E250" s="13"/>
      <c r="H250" s="16"/>
      <c r="I250" s="16"/>
    </row>
    <row r="251">
      <c r="E251" s="13"/>
      <c r="H251" s="16"/>
      <c r="I251" s="16"/>
    </row>
    <row r="252">
      <c r="E252" s="13"/>
      <c r="H252" s="16"/>
      <c r="I252" s="16"/>
    </row>
    <row r="253">
      <c r="E253" s="13"/>
      <c r="H253" s="16"/>
      <c r="I253" s="16"/>
    </row>
    <row r="254">
      <c r="E254" s="13"/>
      <c r="H254" s="16"/>
      <c r="I254" s="16"/>
    </row>
    <row r="255">
      <c r="E255" s="13"/>
      <c r="H255" s="16"/>
      <c r="I255" s="16"/>
    </row>
    <row r="256">
      <c r="E256" s="13"/>
      <c r="H256" s="16"/>
      <c r="I256" s="16"/>
    </row>
    <row r="257">
      <c r="E257" s="13"/>
      <c r="H257" s="16"/>
      <c r="I257" s="16"/>
    </row>
    <row r="258">
      <c r="E258" s="13"/>
      <c r="H258" s="16"/>
      <c r="I258" s="16"/>
    </row>
    <row r="259">
      <c r="E259" s="13"/>
      <c r="H259" s="16"/>
      <c r="I259" s="16"/>
    </row>
    <row r="260">
      <c r="E260" s="13"/>
      <c r="H260" s="16"/>
      <c r="I260" s="16"/>
    </row>
    <row r="261">
      <c r="E261" s="13"/>
      <c r="H261" s="16"/>
      <c r="I261" s="16"/>
    </row>
    <row r="262">
      <c r="E262" s="13"/>
      <c r="H262" s="16"/>
      <c r="I262" s="16"/>
    </row>
    <row r="263">
      <c r="E263" s="13"/>
      <c r="H263" s="16"/>
      <c r="I263" s="16"/>
    </row>
    <row r="264">
      <c r="E264" s="13"/>
      <c r="H264" s="16"/>
      <c r="I264" s="16"/>
    </row>
    <row r="265">
      <c r="E265" s="13"/>
      <c r="H265" s="16"/>
      <c r="I265" s="16"/>
    </row>
    <row r="266">
      <c r="E266" s="13"/>
      <c r="H266" s="16"/>
      <c r="I266" s="16"/>
    </row>
    <row r="267">
      <c r="E267" s="13"/>
      <c r="H267" s="16"/>
      <c r="I267" s="16"/>
    </row>
    <row r="268">
      <c r="E268" s="13"/>
      <c r="H268" s="16"/>
      <c r="I268" s="16"/>
    </row>
    <row r="269">
      <c r="E269" s="13"/>
      <c r="H269" s="16"/>
      <c r="I269" s="16"/>
    </row>
    <row r="270">
      <c r="E270" s="13"/>
      <c r="H270" s="16"/>
      <c r="I270" s="16"/>
    </row>
    <row r="271">
      <c r="E271" s="13"/>
      <c r="H271" s="16"/>
      <c r="I271" s="16"/>
    </row>
    <row r="272">
      <c r="E272" s="13"/>
      <c r="H272" s="16"/>
      <c r="I272" s="16"/>
    </row>
    <row r="273">
      <c r="E273" s="13"/>
      <c r="H273" s="16"/>
      <c r="I273" s="16"/>
    </row>
    <row r="274">
      <c r="E274" s="13"/>
      <c r="H274" s="16"/>
      <c r="I274" s="16"/>
    </row>
    <row r="275">
      <c r="E275" s="13"/>
      <c r="H275" s="16"/>
      <c r="I275" s="16"/>
    </row>
    <row r="276">
      <c r="E276" s="13"/>
      <c r="H276" s="16"/>
      <c r="I276" s="16"/>
    </row>
    <row r="277">
      <c r="E277" s="13"/>
      <c r="H277" s="16"/>
      <c r="I277" s="16"/>
    </row>
    <row r="278">
      <c r="E278" s="13"/>
      <c r="H278" s="16"/>
      <c r="I278" s="16"/>
    </row>
    <row r="279">
      <c r="E279" s="13"/>
      <c r="H279" s="16"/>
      <c r="I279" s="16"/>
    </row>
    <row r="280">
      <c r="E280" s="13"/>
      <c r="H280" s="16"/>
      <c r="I280" s="16"/>
    </row>
    <row r="281">
      <c r="E281" s="13"/>
      <c r="H281" s="16"/>
      <c r="I281" s="16"/>
    </row>
    <row r="282">
      <c r="E282" s="13"/>
      <c r="H282" s="16"/>
      <c r="I282" s="16"/>
    </row>
    <row r="283">
      <c r="E283" s="13"/>
      <c r="H283" s="16"/>
      <c r="I283" s="16"/>
    </row>
    <row r="284">
      <c r="E284" s="13"/>
      <c r="H284" s="16"/>
      <c r="I284" s="16"/>
    </row>
    <row r="285">
      <c r="E285" s="13"/>
      <c r="H285" s="16"/>
      <c r="I285" s="16"/>
    </row>
    <row r="286">
      <c r="E286" s="13"/>
      <c r="H286" s="16"/>
      <c r="I286" s="16"/>
    </row>
    <row r="287">
      <c r="E287" s="13"/>
      <c r="H287" s="16"/>
      <c r="I287" s="16"/>
    </row>
    <row r="288">
      <c r="E288" s="13"/>
      <c r="H288" s="16"/>
      <c r="I288" s="16"/>
    </row>
    <row r="289">
      <c r="E289" s="13"/>
      <c r="H289" s="16"/>
      <c r="I289" s="16"/>
    </row>
    <row r="290">
      <c r="E290" s="13"/>
      <c r="H290" s="16"/>
      <c r="I290" s="16"/>
    </row>
    <row r="291">
      <c r="E291" s="13"/>
      <c r="H291" s="16"/>
      <c r="I291" s="16"/>
    </row>
    <row r="292">
      <c r="E292" s="13"/>
      <c r="H292" s="16"/>
      <c r="I292" s="16"/>
    </row>
    <row r="293">
      <c r="E293" s="13"/>
      <c r="H293" s="16"/>
      <c r="I293" s="16"/>
    </row>
    <row r="294">
      <c r="E294" s="13"/>
      <c r="H294" s="16"/>
      <c r="I294" s="16"/>
    </row>
    <row r="295">
      <c r="E295" s="13"/>
      <c r="H295" s="16"/>
      <c r="I295" s="16"/>
    </row>
    <row r="296">
      <c r="E296" s="13"/>
      <c r="H296" s="16"/>
      <c r="I296" s="16"/>
    </row>
    <row r="297">
      <c r="E297" s="13"/>
      <c r="H297" s="16"/>
      <c r="I297" s="16"/>
    </row>
    <row r="298">
      <c r="E298" s="13"/>
      <c r="H298" s="16"/>
      <c r="I298" s="16"/>
    </row>
    <row r="299">
      <c r="E299" s="13"/>
      <c r="H299" s="16"/>
      <c r="I299" s="16"/>
    </row>
    <row r="300">
      <c r="E300" s="13"/>
      <c r="H300" s="16"/>
      <c r="I300" s="16"/>
    </row>
    <row r="301">
      <c r="E301" s="13"/>
      <c r="H301" s="16"/>
      <c r="I301" s="16"/>
    </row>
    <row r="302">
      <c r="E302" s="13"/>
      <c r="H302" s="16"/>
      <c r="I302" s="16"/>
    </row>
    <row r="303">
      <c r="E303" s="13"/>
      <c r="H303" s="16"/>
      <c r="I303" s="16"/>
    </row>
    <row r="304">
      <c r="E304" s="13"/>
      <c r="H304" s="16"/>
      <c r="I304" s="16"/>
    </row>
    <row r="305">
      <c r="E305" s="13"/>
      <c r="H305" s="16"/>
      <c r="I305" s="16"/>
    </row>
    <row r="306">
      <c r="E306" s="13"/>
      <c r="H306" s="16"/>
      <c r="I306" s="16"/>
    </row>
    <row r="307">
      <c r="E307" s="13"/>
      <c r="H307" s="16"/>
      <c r="I307" s="16"/>
    </row>
    <row r="308">
      <c r="E308" s="13"/>
      <c r="H308" s="16"/>
      <c r="I308" s="16"/>
    </row>
    <row r="309">
      <c r="E309" s="13"/>
      <c r="H309" s="16"/>
      <c r="I309" s="16"/>
    </row>
    <row r="310">
      <c r="E310" s="13"/>
      <c r="H310" s="16"/>
      <c r="I310" s="16"/>
    </row>
    <row r="311">
      <c r="E311" s="13"/>
      <c r="H311" s="16"/>
      <c r="I311" s="16"/>
    </row>
    <row r="312">
      <c r="E312" s="13"/>
      <c r="H312" s="16"/>
      <c r="I312" s="16"/>
    </row>
    <row r="313">
      <c r="E313" s="13"/>
      <c r="H313" s="16"/>
      <c r="I313" s="16"/>
    </row>
    <row r="314">
      <c r="E314" s="13"/>
      <c r="H314" s="16"/>
      <c r="I314" s="16"/>
    </row>
    <row r="315">
      <c r="E315" s="13"/>
      <c r="H315" s="16"/>
      <c r="I315" s="16"/>
    </row>
    <row r="316">
      <c r="E316" s="13"/>
      <c r="H316" s="16"/>
      <c r="I316" s="16"/>
    </row>
    <row r="317">
      <c r="E317" s="13"/>
      <c r="H317" s="16"/>
      <c r="I317" s="16"/>
    </row>
    <row r="318">
      <c r="E318" s="13"/>
      <c r="H318" s="16"/>
      <c r="I318" s="16"/>
    </row>
    <row r="319">
      <c r="E319" s="13"/>
      <c r="H319" s="16"/>
      <c r="I319" s="16"/>
    </row>
    <row r="320">
      <c r="E320" s="13"/>
      <c r="H320" s="16"/>
      <c r="I320" s="16"/>
    </row>
    <row r="321">
      <c r="E321" s="13"/>
      <c r="H321" s="16"/>
      <c r="I321" s="16"/>
    </row>
    <row r="322">
      <c r="E322" s="13"/>
      <c r="H322" s="16"/>
      <c r="I322" s="16"/>
    </row>
    <row r="323">
      <c r="E323" s="13"/>
      <c r="H323" s="16"/>
      <c r="I323" s="16"/>
    </row>
    <row r="324">
      <c r="E324" s="13"/>
      <c r="H324" s="16"/>
      <c r="I324" s="16"/>
    </row>
    <row r="325">
      <c r="E325" s="13"/>
      <c r="H325" s="16"/>
      <c r="I325" s="16"/>
    </row>
    <row r="326">
      <c r="E326" s="13"/>
      <c r="H326" s="16"/>
      <c r="I326" s="16"/>
    </row>
    <row r="327">
      <c r="E327" s="13"/>
      <c r="H327" s="16"/>
      <c r="I327" s="16"/>
    </row>
    <row r="328">
      <c r="E328" s="13"/>
      <c r="H328" s="16"/>
      <c r="I328" s="16"/>
    </row>
    <row r="329">
      <c r="E329" s="13"/>
      <c r="H329" s="16"/>
      <c r="I329" s="16"/>
    </row>
    <row r="330">
      <c r="E330" s="13"/>
      <c r="H330" s="16"/>
      <c r="I330" s="16"/>
    </row>
    <row r="331">
      <c r="E331" s="13"/>
      <c r="H331" s="16"/>
      <c r="I331" s="16"/>
    </row>
    <row r="332">
      <c r="E332" s="13"/>
      <c r="H332" s="16"/>
      <c r="I332" s="16"/>
    </row>
    <row r="333">
      <c r="E333" s="13"/>
      <c r="H333" s="16"/>
      <c r="I333" s="16"/>
    </row>
    <row r="334">
      <c r="E334" s="13"/>
      <c r="H334" s="16"/>
      <c r="I334" s="16"/>
    </row>
    <row r="335">
      <c r="E335" s="13"/>
      <c r="H335" s="16"/>
      <c r="I335" s="16"/>
    </row>
    <row r="336">
      <c r="E336" s="13"/>
      <c r="H336" s="16"/>
      <c r="I336" s="16"/>
    </row>
    <row r="337">
      <c r="E337" s="13"/>
      <c r="H337" s="16"/>
      <c r="I337" s="16"/>
    </row>
    <row r="338">
      <c r="E338" s="13"/>
      <c r="H338" s="16"/>
      <c r="I338" s="16"/>
    </row>
    <row r="339">
      <c r="E339" s="13"/>
      <c r="H339" s="16"/>
      <c r="I339" s="16"/>
    </row>
    <row r="340">
      <c r="E340" s="13"/>
      <c r="H340" s="16"/>
      <c r="I340" s="16"/>
    </row>
    <row r="341">
      <c r="E341" s="13"/>
      <c r="H341" s="16"/>
      <c r="I341" s="16"/>
    </row>
    <row r="342">
      <c r="E342" s="13"/>
      <c r="H342" s="16"/>
      <c r="I342" s="16"/>
    </row>
    <row r="343">
      <c r="E343" s="13"/>
      <c r="H343" s="16"/>
      <c r="I343" s="16"/>
    </row>
    <row r="344">
      <c r="E344" s="13"/>
      <c r="H344" s="16"/>
      <c r="I344" s="16"/>
    </row>
    <row r="345">
      <c r="E345" s="13"/>
      <c r="H345" s="16"/>
      <c r="I345" s="16"/>
    </row>
    <row r="346">
      <c r="E346" s="13"/>
      <c r="H346" s="16"/>
      <c r="I346" s="16"/>
    </row>
    <row r="347">
      <c r="E347" s="13"/>
      <c r="H347" s="16"/>
      <c r="I347" s="16"/>
    </row>
    <row r="348">
      <c r="E348" s="13"/>
      <c r="H348" s="16"/>
      <c r="I348" s="16"/>
    </row>
    <row r="349">
      <c r="E349" s="13"/>
      <c r="H349" s="16"/>
      <c r="I349" s="16"/>
    </row>
    <row r="350">
      <c r="E350" s="13"/>
      <c r="H350" s="16"/>
      <c r="I350" s="16"/>
    </row>
    <row r="351">
      <c r="E351" s="13"/>
      <c r="H351" s="16"/>
      <c r="I351" s="16"/>
    </row>
    <row r="352">
      <c r="E352" s="13"/>
      <c r="H352" s="16"/>
      <c r="I352" s="16"/>
    </row>
    <row r="353">
      <c r="E353" s="13"/>
      <c r="H353" s="16"/>
      <c r="I353" s="16"/>
    </row>
    <row r="354">
      <c r="E354" s="13"/>
      <c r="H354" s="16"/>
      <c r="I354" s="16"/>
    </row>
    <row r="355">
      <c r="E355" s="13"/>
      <c r="H355" s="16"/>
      <c r="I355" s="16"/>
    </row>
    <row r="356">
      <c r="E356" s="13"/>
      <c r="H356" s="16"/>
      <c r="I356" s="16"/>
    </row>
    <row r="357">
      <c r="E357" s="13"/>
      <c r="H357" s="16"/>
      <c r="I357" s="16"/>
    </row>
    <row r="358">
      <c r="E358" s="13"/>
      <c r="H358" s="16"/>
      <c r="I358" s="16"/>
    </row>
    <row r="359">
      <c r="E359" s="13"/>
      <c r="H359" s="16"/>
      <c r="I359" s="16"/>
    </row>
    <row r="360">
      <c r="E360" s="13"/>
      <c r="H360" s="16"/>
      <c r="I360" s="16"/>
    </row>
    <row r="361">
      <c r="E361" s="13"/>
      <c r="H361" s="16"/>
      <c r="I361" s="16"/>
    </row>
    <row r="362">
      <c r="E362" s="13"/>
      <c r="H362" s="16"/>
      <c r="I362" s="16"/>
    </row>
    <row r="363">
      <c r="E363" s="13"/>
      <c r="H363" s="16"/>
      <c r="I363" s="16"/>
    </row>
    <row r="364">
      <c r="E364" s="13"/>
      <c r="H364" s="16"/>
      <c r="I364" s="16"/>
    </row>
    <row r="365">
      <c r="E365" s="13"/>
      <c r="H365" s="16"/>
      <c r="I365" s="16"/>
    </row>
    <row r="366">
      <c r="E366" s="13"/>
      <c r="H366" s="16"/>
      <c r="I366" s="16"/>
    </row>
    <row r="367">
      <c r="E367" s="13"/>
      <c r="H367" s="16"/>
      <c r="I367" s="16"/>
    </row>
    <row r="368">
      <c r="E368" s="13"/>
      <c r="H368" s="16"/>
      <c r="I368" s="16"/>
    </row>
    <row r="369">
      <c r="E369" s="13"/>
      <c r="H369" s="16"/>
      <c r="I369" s="16"/>
    </row>
    <row r="370">
      <c r="E370" s="13"/>
      <c r="H370" s="16"/>
      <c r="I370" s="16"/>
    </row>
    <row r="371">
      <c r="E371" s="13"/>
      <c r="H371" s="16"/>
      <c r="I371" s="16"/>
    </row>
    <row r="372">
      <c r="E372" s="13"/>
      <c r="H372" s="16"/>
      <c r="I372" s="16"/>
    </row>
    <row r="373">
      <c r="E373" s="13"/>
      <c r="H373" s="16"/>
      <c r="I373" s="16"/>
    </row>
    <row r="374">
      <c r="E374" s="13"/>
      <c r="H374" s="16"/>
      <c r="I374" s="16"/>
    </row>
    <row r="375">
      <c r="E375" s="13"/>
      <c r="H375" s="16"/>
      <c r="I375" s="16"/>
    </row>
    <row r="376">
      <c r="E376" s="13"/>
      <c r="H376" s="16"/>
      <c r="I376" s="16"/>
    </row>
    <row r="377">
      <c r="E377" s="13"/>
      <c r="H377" s="16"/>
      <c r="I377" s="16"/>
    </row>
    <row r="378">
      <c r="E378" s="13"/>
      <c r="H378" s="16"/>
      <c r="I378" s="16"/>
    </row>
    <row r="379">
      <c r="E379" s="13"/>
      <c r="H379" s="16"/>
      <c r="I379" s="16"/>
    </row>
    <row r="380">
      <c r="E380" s="13"/>
      <c r="H380" s="16"/>
      <c r="I380" s="16"/>
    </row>
    <row r="381">
      <c r="E381" s="13"/>
      <c r="H381" s="16"/>
      <c r="I381" s="16"/>
    </row>
    <row r="382">
      <c r="E382" s="13"/>
      <c r="H382" s="16"/>
      <c r="I382" s="16"/>
    </row>
    <row r="383">
      <c r="E383" s="13"/>
      <c r="H383" s="16"/>
      <c r="I383" s="16"/>
    </row>
    <row r="384">
      <c r="E384" s="13"/>
      <c r="H384" s="16"/>
      <c r="I384" s="16"/>
    </row>
    <row r="385">
      <c r="E385" s="13"/>
      <c r="H385" s="16"/>
      <c r="I385" s="16"/>
    </row>
    <row r="386">
      <c r="E386" s="13"/>
      <c r="H386" s="16"/>
      <c r="I386" s="16"/>
    </row>
    <row r="387">
      <c r="E387" s="13"/>
      <c r="H387" s="16"/>
      <c r="I387" s="16"/>
    </row>
    <row r="388">
      <c r="E388" s="13"/>
      <c r="H388" s="16"/>
      <c r="I388" s="16"/>
    </row>
    <row r="389">
      <c r="E389" s="13"/>
      <c r="H389" s="16"/>
      <c r="I389" s="16"/>
    </row>
    <row r="390">
      <c r="E390" s="13"/>
      <c r="H390" s="16"/>
      <c r="I390" s="16"/>
    </row>
    <row r="391">
      <c r="E391" s="13"/>
      <c r="H391" s="16"/>
      <c r="I391" s="16"/>
    </row>
    <row r="392">
      <c r="E392" s="13"/>
      <c r="H392" s="16"/>
      <c r="I392" s="16"/>
    </row>
    <row r="393">
      <c r="E393" s="13"/>
      <c r="H393" s="16"/>
      <c r="I393" s="16"/>
    </row>
    <row r="394">
      <c r="E394" s="13"/>
      <c r="H394" s="16"/>
      <c r="I394" s="16"/>
    </row>
    <row r="395">
      <c r="E395" s="13"/>
      <c r="H395" s="16"/>
      <c r="I395" s="16"/>
    </row>
    <row r="396">
      <c r="E396" s="13"/>
      <c r="H396" s="16"/>
      <c r="I396" s="16"/>
    </row>
    <row r="397">
      <c r="E397" s="13"/>
      <c r="H397" s="16"/>
      <c r="I397" s="16"/>
    </row>
    <row r="398">
      <c r="E398" s="13"/>
      <c r="H398" s="16"/>
      <c r="I398" s="16"/>
    </row>
    <row r="399">
      <c r="E399" s="13"/>
      <c r="H399" s="16"/>
      <c r="I399" s="16"/>
    </row>
    <row r="400">
      <c r="E400" s="13"/>
      <c r="H400" s="16"/>
      <c r="I400" s="16"/>
    </row>
    <row r="401">
      <c r="E401" s="13"/>
      <c r="H401" s="16"/>
      <c r="I401" s="16"/>
    </row>
    <row r="402">
      <c r="E402" s="13"/>
      <c r="H402" s="16"/>
      <c r="I402" s="16"/>
    </row>
    <row r="403">
      <c r="E403" s="13"/>
      <c r="H403" s="16"/>
      <c r="I403" s="16"/>
    </row>
    <row r="404">
      <c r="E404" s="13"/>
      <c r="H404" s="16"/>
      <c r="I404" s="16"/>
    </row>
    <row r="405">
      <c r="E405" s="13"/>
      <c r="H405" s="16"/>
      <c r="I405" s="16"/>
    </row>
    <row r="406">
      <c r="E406" s="13"/>
      <c r="H406" s="16"/>
      <c r="I406" s="16"/>
    </row>
    <row r="407">
      <c r="E407" s="13"/>
      <c r="H407" s="16"/>
      <c r="I407" s="16"/>
    </row>
    <row r="408">
      <c r="E408" s="13"/>
      <c r="H408" s="16"/>
      <c r="I408" s="16"/>
    </row>
    <row r="409">
      <c r="E409" s="13"/>
      <c r="H409" s="16"/>
      <c r="I409" s="16"/>
    </row>
    <row r="410">
      <c r="E410" s="13"/>
      <c r="H410" s="16"/>
      <c r="I410" s="16"/>
    </row>
    <row r="411">
      <c r="E411" s="13"/>
      <c r="H411" s="16"/>
      <c r="I411" s="16"/>
    </row>
    <row r="412">
      <c r="E412" s="13"/>
      <c r="H412" s="16"/>
      <c r="I412" s="16"/>
    </row>
    <row r="413">
      <c r="E413" s="13"/>
      <c r="H413" s="16"/>
      <c r="I413" s="16"/>
    </row>
    <row r="414">
      <c r="E414" s="13"/>
      <c r="H414" s="16"/>
      <c r="I414" s="16"/>
    </row>
    <row r="415">
      <c r="E415" s="13"/>
      <c r="H415" s="16"/>
      <c r="I415" s="16"/>
    </row>
    <row r="416">
      <c r="E416" s="13"/>
      <c r="H416" s="16"/>
      <c r="I416" s="16"/>
    </row>
    <row r="417">
      <c r="E417" s="13"/>
      <c r="H417" s="16"/>
      <c r="I417" s="16"/>
    </row>
    <row r="418">
      <c r="E418" s="13"/>
      <c r="H418" s="16"/>
      <c r="I418" s="16"/>
    </row>
    <row r="419">
      <c r="E419" s="13"/>
      <c r="H419" s="16"/>
      <c r="I419" s="16"/>
    </row>
    <row r="420">
      <c r="E420" s="13"/>
      <c r="H420" s="16"/>
      <c r="I420" s="16"/>
    </row>
    <row r="421">
      <c r="E421" s="13"/>
      <c r="H421" s="16"/>
      <c r="I421" s="16"/>
    </row>
    <row r="422">
      <c r="E422" s="13"/>
      <c r="H422" s="16"/>
      <c r="I422" s="16"/>
    </row>
    <row r="423">
      <c r="E423" s="13"/>
      <c r="H423" s="16"/>
      <c r="I423" s="16"/>
    </row>
    <row r="424">
      <c r="E424" s="13"/>
      <c r="H424" s="16"/>
      <c r="I424" s="16"/>
    </row>
    <row r="425">
      <c r="E425" s="13"/>
      <c r="H425" s="16"/>
      <c r="I425" s="16"/>
    </row>
    <row r="426">
      <c r="E426" s="13"/>
      <c r="H426" s="16"/>
      <c r="I426" s="16"/>
    </row>
    <row r="427">
      <c r="E427" s="13"/>
      <c r="H427" s="16"/>
      <c r="I427" s="16"/>
    </row>
    <row r="428">
      <c r="E428" s="13"/>
      <c r="H428" s="16"/>
      <c r="I428" s="16"/>
    </row>
    <row r="429">
      <c r="E429" s="13"/>
      <c r="H429" s="16"/>
      <c r="I429" s="16"/>
    </row>
    <row r="430">
      <c r="E430" s="13"/>
      <c r="H430" s="16"/>
      <c r="I430" s="16"/>
    </row>
    <row r="431">
      <c r="E431" s="13"/>
      <c r="H431" s="16"/>
      <c r="I431" s="16"/>
    </row>
    <row r="432">
      <c r="E432" s="13"/>
      <c r="H432" s="16"/>
      <c r="I432" s="16"/>
    </row>
    <row r="433">
      <c r="E433" s="13"/>
      <c r="H433" s="16"/>
      <c r="I433" s="16"/>
    </row>
    <row r="434">
      <c r="E434" s="13"/>
      <c r="H434" s="16"/>
      <c r="I434" s="16"/>
    </row>
    <row r="435">
      <c r="E435" s="13"/>
      <c r="H435" s="16"/>
      <c r="I435" s="16"/>
    </row>
    <row r="436">
      <c r="E436" s="13"/>
      <c r="H436" s="16"/>
      <c r="I436" s="16"/>
    </row>
    <row r="437">
      <c r="E437" s="13"/>
      <c r="H437" s="16"/>
      <c r="I437" s="16"/>
    </row>
    <row r="438">
      <c r="E438" s="13"/>
      <c r="H438" s="16"/>
      <c r="I438" s="16"/>
    </row>
    <row r="439">
      <c r="E439" s="13"/>
      <c r="H439" s="16"/>
      <c r="I439" s="16"/>
    </row>
    <row r="440">
      <c r="E440" s="13"/>
      <c r="H440" s="16"/>
      <c r="I440" s="16"/>
    </row>
    <row r="441">
      <c r="E441" s="13"/>
      <c r="H441" s="16"/>
      <c r="I441" s="16"/>
    </row>
    <row r="442">
      <c r="E442" s="13"/>
      <c r="H442" s="16"/>
      <c r="I442" s="16"/>
    </row>
    <row r="443">
      <c r="E443" s="13"/>
      <c r="H443" s="16"/>
      <c r="I443" s="16"/>
    </row>
    <row r="444">
      <c r="E444" s="13"/>
      <c r="H444" s="16"/>
      <c r="I444" s="16"/>
    </row>
    <row r="445">
      <c r="E445" s="13"/>
      <c r="H445" s="16"/>
      <c r="I445" s="16"/>
    </row>
    <row r="446">
      <c r="E446" s="13"/>
      <c r="H446" s="16"/>
      <c r="I446" s="16"/>
    </row>
    <row r="447">
      <c r="E447" s="13"/>
      <c r="H447" s="16"/>
      <c r="I447" s="16"/>
    </row>
    <row r="448">
      <c r="E448" s="13"/>
      <c r="H448" s="16"/>
      <c r="I448" s="16"/>
    </row>
    <row r="449">
      <c r="E449" s="13"/>
      <c r="H449" s="16"/>
      <c r="I449" s="16"/>
    </row>
    <row r="450">
      <c r="E450" s="13"/>
      <c r="H450" s="16"/>
      <c r="I450" s="16"/>
    </row>
    <row r="451">
      <c r="E451" s="13"/>
      <c r="H451" s="16"/>
      <c r="I451" s="16"/>
    </row>
    <row r="452">
      <c r="E452" s="13"/>
      <c r="H452" s="16"/>
      <c r="I452" s="16"/>
    </row>
    <row r="453">
      <c r="E453" s="13"/>
      <c r="H453" s="16"/>
      <c r="I453" s="16"/>
    </row>
    <row r="454">
      <c r="E454" s="13"/>
      <c r="H454" s="16"/>
      <c r="I454" s="16"/>
    </row>
    <row r="455">
      <c r="E455" s="13"/>
      <c r="H455" s="16"/>
      <c r="I455" s="16"/>
    </row>
    <row r="456">
      <c r="E456" s="13"/>
      <c r="H456" s="16"/>
      <c r="I456" s="16"/>
    </row>
    <row r="457">
      <c r="E457" s="13"/>
      <c r="H457" s="16"/>
      <c r="I457" s="16"/>
    </row>
    <row r="458">
      <c r="E458" s="13"/>
      <c r="H458" s="16"/>
      <c r="I458" s="16"/>
    </row>
    <row r="459">
      <c r="E459" s="13"/>
      <c r="H459" s="16"/>
      <c r="I459" s="16"/>
    </row>
    <row r="460">
      <c r="E460" s="13"/>
      <c r="H460" s="16"/>
      <c r="I460" s="16"/>
    </row>
    <row r="461">
      <c r="E461" s="13"/>
      <c r="H461" s="16"/>
      <c r="I461" s="16"/>
    </row>
    <row r="462">
      <c r="E462" s="13"/>
      <c r="H462" s="16"/>
      <c r="I462" s="16"/>
    </row>
    <row r="463">
      <c r="E463" s="13"/>
      <c r="H463" s="16"/>
      <c r="I463" s="16"/>
    </row>
    <row r="464">
      <c r="E464" s="13"/>
      <c r="H464" s="16"/>
      <c r="I464" s="16"/>
    </row>
    <row r="465">
      <c r="E465" s="13"/>
      <c r="H465" s="16"/>
      <c r="I465" s="16"/>
    </row>
    <row r="466">
      <c r="E466" s="13"/>
      <c r="H466" s="16"/>
      <c r="I466" s="16"/>
    </row>
    <row r="467">
      <c r="E467" s="13"/>
      <c r="H467" s="16"/>
      <c r="I467" s="16"/>
    </row>
    <row r="468">
      <c r="E468" s="13"/>
      <c r="H468" s="16"/>
      <c r="I468" s="16"/>
    </row>
    <row r="469">
      <c r="E469" s="13"/>
      <c r="H469" s="16"/>
      <c r="I469" s="16"/>
    </row>
    <row r="470">
      <c r="E470" s="13"/>
      <c r="H470" s="16"/>
      <c r="I470" s="16"/>
    </row>
    <row r="471">
      <c r="E471" s="13"/>
      <c r="H471" s="16"/>
      <c r="I471" s="16"/>
    </row>
    <row r="472">
      <c r="E472" s="13"/>
      <c r="H472" s="16"/>
      <c r="I472" s="16"/>
    </row>
    <row r="473">
      <c r="E473" s="13"/>
      <c r="H473" s="16"/>
      <c r="I473" s="16"/>
    </row>
    <row r="474">
      <c r="E474" s="13"/>
      <c r="H474" s="16"/>
      <c r="I474" s="16"/>
    </row>
    <row r="475">
      <c r="E475" s="13"/>
      <c r="H475" s="16"/>
      <c r="I475" s="16"/>
    </row>
    <row r="476">
      <c r="E476" s="13"/>
      <c r="H476" s="16"/>
      <c r="I476" s="16"/>
    </row>
    <row r="477">
      <c r="E477" s="13"/>
      <c r="H477" s="16"/>
      <c r="I477" s="16"/>
    </row>
    <row r="478">
      <c r="E478" s="13"/>
      <c r="H478" s="16"/>
      <c r="I478" s="16"/>
    </row>
    <row r="479">
      <c r="E479" s="13"/>
      <c r="H479" s="16"/>
      <c r="I479" s="16"/>
    </row>
    <row r="480">
      <c r="E480" s="13"/>
      <c r="H480" s="16"/>
      <c r="I480" s="16"/>
    </row>
    <row r="481">
      <c r="E481" s="13"/>
      <c r="H481" s="16"/>
      <c r="I481" s="16"/>
    </row>
    <row r="482">
      <c r="E482" s="13"/>
      <c r="H482" s="16"/>
      <c r="I482" s="16"/>
    </row>
    <row r="483">
      <c r="E483" s="13"/>
      <c r="H483" s="16"/>
      <c r="I483" s="16"/>
    </row>
    <row r="484">
      <c r="E484" s="13"/>
      <c r="H484" s="16"/>
      <c r="I484" s="16"/>
    </row>
    <row r="485">
      <c r="E485" s="13"/>
      <c r="H485" s="16"/>
      <c r="I485" s="16"/>
    </row>
    <row r="486">
      <c r="E486" s="13"/>
      <c r="H486" s="16"/>
      <c r="I486" s="16"/>
    </row>
    <row r="487">
      <c r="E487" s="13"/>
      <c r="H487" s="16"/>
      <c r="I487" s="16"/>
    </row>
    <row r="488">
      <c r="E488" s="13"/>
      <c r="H488" s="16"/>
      <c r="I488" s="16"/>
    </row>
    <row r="489">
      <c r="E489" s="13"/>
      <c r="H489" s="16"/>
      <c r="I489" s="16"/>
    </row>
    <row r="490">
      <c r="E490" s="13"/>
      <c r="H490" s="16"/>
      <c r="I490" s="16"/>
    </row>
    <row r="491">
      <c r="E491" s="13"/>
      <c r="H491" s="16"/>
      <c r="I491" s="16"/>
    </row>
    <row r="492">
      <c r="E492" s="13"/>
      <c r="H492" s="16"/>
      <c r="I492" s="16"/>
    </row>
    <row r="493">
      <c r="E493" s="13"/>
      <c r="H493" s="16"/>
      <c r="I493" s="16"/>
    </row>
    <row r="494">
      <c r="E494" s="13"/>
      <c r="H494" s="16"/>
      <c r="I494" s="16"/>
    </row>
    <row r="495">
      <c r="E495" s="13"/>
      <c r="H495" s="16"/>
      <c r="I495" s="16"/>
    </row>
    <row r="496">
      <c r="E496" s="13"/>
      <c r="H496" s="16"/>
      <c r="I496" s="16"/>
    </row>
    <row r="497">
      <c r="E497" s="13"/>
      <c r="H497" s="16"/>
      <c r="I497" s="16"/>
    </row>
    <row r="498">
      <c r="E498" s="13"/>
      <c r="H498" s="16"/>
      <c r="I498" s="16"/>
    </row>
    <row r="499">
      <c r="E499" s="13"/>
      <c r="H499" s="16"/>
      <c r="I499" s="16"/>
    </row>
    <row r="500">
      <c r="E500" s="13"/>
      <c r="H500" s="16"/>
      <c r="I500" s="16"/>
    </row>
    <row r="501">
      <c r="E501" s="13"/>
      <c r="H501" s="16"/>
      <c r="I501" s="16"/>
    </row>
    <row r="502">
      <c r="E502" s="13"/>
      <c r="H502" s="16"/>
      <c r="I502" s="16"/>
    </row>
    <row r="503">
      <c r="E503" s="13"/>
      <c r="H503" s="16"/>
      <c r="I503" s="16"/>
    </row>
    <row r="504">
      <c r="E504" s="13"/>
      <c r="H504" s="16"/>
      <c r="I504" s="16"/>
    </row>
    <row r="505">
      <c r="E505" s="13"/>
      <c r="H505" s="16"/>
      <c r="I505" s="16"/>
    </row>
    <row r="506">
      <c r="E506" s="13"/>
      <c r="H506" s="16"/>
      <c r="I506" s="16"/>
    </row>
    <row r="507">
      <c r="E507" s="13"/>
      <c r="H507" s="16"/>
      <c r="I507" s="16"/>
    </row>
    <row r="508">
      <c r="E508" s="13"/>
      <c r="H508" s="16"/>
      <c r="I508" s="16"/>
    </row>
    <row r="509">
      <c r="E509" s="13"/>
      <c r="H509" s="16"/>
      <c r="I509" s="16"/>
    </row>
    <row r="510">
      <c r="E510" s="13"/>
      <c r="H510" s="16"/>
      <c r="I510" s="16"/>
    </row>
    <row r="511">
      <c r="E511" s="13"/>
      <c r="H511" s="16"/>
      <c r="I511" s="16"/>
    </row>
    <row r="512">
      <c r="E512" s="13"/>
      <c r="H512" s="16"/>
      <c r="I512" s="16"/>
    </row>
    <row r="513">
      <c r="E513" s="13"/>
      <c r="H513" s="16"/>
      <c r="I513" s="16"/>
    </row>
    <row r="514">
      <c r="E514" s="13"/>
      <c r="H514" s="16"/>
      <c r="I514" s="16"/>
    </row>
    <row r="515">
      <c r="E515" s="13"/>
      <c r="H515" s="16"/>
      <c r="I515" s="16"/>
    </row>
    <row r="516">
      <c r="E516" s="13"/>
      <c r="H516" s="16"/>
      <c r="I516" s="16"/>
    </row>
    <row r="517">
      <c r="E517" s="13"/>
      <c r="H517" s="16"/>
      <c r="I517" s="16"/>
    </row>
    <row r="518">
      <c r="E518" s="13"/>
      <c r="H518" s="16"/>
      <c r="I518" s="16"/>
    </row>
    <row r="519">
      <c r="E519" s="13"/>
      <c r="H519" s="16"/>
      <c r="I519" s="16"/>
    </row>
    <row r="520">
      <c r="E520" s="13"/>
      <c r="H520" s="16"/>
      <c r="I520" s="16"/>
    </row>
    <row r="521">
      <c r="E521" s="13"/>
      <c r="H521" s="16"/>
      <c r="I521" s="16"/>
    </row>
    <row r="522">
      <c r="E522" s="13"/>
      <c r="H522" s="16"/>
      <c r="I522" s="16"/>
    </row>
    <row r="523">
      <c r="E523" s="13"/>
      <c r="H523" s="16"/>
      <c r="I523" s="16"/>
    </row>
    <row r="524">
      <c r="E524" s="13"/>
      <c r="H524" s="16"/>
      <c r="I524" s="16"/>
    </row>
    <row r="525">
      <c r="E525" s="13"/>
      <c r="H525" s="16"/>
      <c r="I525" s="16"/>
    </row>
    <row r="526">
      <c r="E526" s="13"/>
      <c r="H526" s="16"/>
      <c r="I526" s="16"/>
    </row>
    <row r="527">
      <c r="E527" s="13"/>
      <c r="H527" s="16"/>
      <c r="I527" s="16"/>
    </row>
    <row r="528">
      <c r="E528" s="13"/>
      <c r="H528" s="16"/>
      <c r="I528" s="16"/>
    </row>
    <row r="529">
      <c r="E529" s="13"/>
      <c r="H529" s="16"/>
      <c r="I529" s="16"/>
    </row>
    <row r="530">
      <c r="E530" s="13"/>
      <c r="H530" s="16"/>
      <c r="I530" s="16"/>
    </row>
    <row r="531">
      <c r="E531" s="13"/>
      <c r="H531" s="16"/>
      <c r="I531" s="16"/>
    </row>
    <row r="532">
      <c r="E532" s="13"/>
      <c r="H532" s="16"/>
      <c r="I532" s="16"/>
    </row>
    <row r="533">
      <c r="E533" s="13"/>
      <c r="H533" s="16"/>
      <c r="I533" s="16"/>
    </row>
    <row r="534">
      <c r="E534" s="13"/>
      <c r="H534" s="16"/>
      <c r="I534" s="16"/>
    </row>
    <row r="535">
      <c r="E535" s="13"/>
      <c r="H535" s="16"/>
      <c r="I535" s="16"/>
    </row>
    <row r="536">
      <c r="E536" s="13"/>
      <c r="H536" s="16"/>
      <c r="I536" s="16"/>
    </row>
    <row r="537">
      <c r="E537" s="13"/>
      <c r="H537" s="16"/>
      <c r="I537" s="16"/>
    </row>
    <row r="538">
      <c r="E538" s="13"/>
      <c r="H538" s="16"/>
      <c r="I538" s="16"/>
    </row>
    <row r="539">
      <c r="E539" s="13"/>
      <c r="H539" s="16"/>
      <c r="I539" s="16"/>
    </row>
    <row r="540">
      <c r="E540" s="13"/>
      <c r="H540" s="16"/>
      <c r="I540" s="16"/>
    </row>
    <row r="541">
      <c r="E541" s="13"/>
      <c r="H541" s="16"/>
      <c r="I541" s="16"/>
    </row>
    <row r="542">
      <c r="E542" s="13"/>
      <c r="H542" s="16"/>
      <c r="I542" s="16"/>
    </row>
    <row r="543">
      <c r="E543" s="13"/>
      <c r="H543" s="16"/>
      <c r="I543" s="16"/>
    </row>
    <row r="544">
      <c r="E544" s="13"/>
      <c r="H544" s="16"/>
      <c r="I544" s="16"/>
    </row>
    <row r="545">
      <c r="E545" s="13"/>
      <c r="H545" s="16"/>
      <c r="I545" s="16"/>
    </row>
    <row r="546">
      <c r="E546" s="13"/>
      <c r="H546" s="16"/>
      <c r="I546" s="16"/>
    </row>
    <row r="547">
      <c r="E547" s="13"/>
      <c r="H547" s="16"/>
      <c r="I547" s="16"/>
    </row>
    <row r="548">
      <c r="E548" s="13"/>
      <c r="H548" s="16"/>
      <c r="I548" s="16"/>
    </row>
    <row r="549">
      <c r="E549" s="13"/>
      <c r="H549" s="16"/>
      <c r="I549" s="16"/>
    </row>
    <row r="550">
      <c r="E550" s="13"/>
      <c r="H550" s="16"/>
      <c r="I550" s="16"/>
    </row>
    <row r="551">
      <c r="E551" s="13"/>
      <c r="H551" s="16"/>
      <c r="I551" s="16"/>
    </row>
    <row r="552">
      <c r="E552" s="13"/>
      <c r="H552" s="16"/>
      <c r="I552" s="16"/>
    </row>
    <row r="553">
      <c r="E553" s="13"/>
      <c r="H553" s="16"/>
      <c r="I553" s="16"/>
    </row>
    <row r="554">
      <c r="E554" s="13"/>
      <c r="H554" s="16"/>
      <c r="I554" s="16"/>
    </row>
    <row r="555">
      <c r="E555" s="13"/>
      <c r="H555" s="16"/>
      <c r="I555" s="16"/>
    </row>
    <row r="556">
      <c r="E556" s="13"/>
      <c r="H556" s="16"/>
      <c r="I556" s="16"/>
    </row>
    <row r="557">
      <c r="E557" s="13"/>
      <c r="H557" s="16"/>
      <c r="I557" s="16"/>
    </row>
    <row r="558">
      <c r="E558" s="13"/>
      <c r="H558" s="16"/>
      <c r="I558" s="16"/>
    </row>
    <row r="559">
      <c r="E559" s="13"/>
      <c r="H559" s="16"/>
      <c r="I559" s="16"/>
    </row>
    <row r="560">
      <c r="E560" s="13"/>
      <c r="H560" s="16"/>
      <c r="I560" s="16"/>
    </row>
    <row r="561">
      <c r="E561" s="13"/>
      <c r="H561" s="16"/>
      <c r="I561" s="16"/>
    </row>
    <row r="562">
      <c r="E562" s="13"/>
      <c r="H562" s="16"/>
      <c r="I562" s="16"/>
    </row>
    <row r="563">
      <c r="E563" s="13"/>
      <c r="H563" s="16"/>
      <c r="I563" s="16"/>
    </row>
    <row r="564">
      <c r="E564" s="13"/>
      <c r="H564" s="16"/>
      <c r="I564" s="16"/>
    </row>
    <row r="565">
      <c r="E565" s="13"/>
      <c r="H565" s="16"/>
      <c r="I565" s="16"/>
    </row>
    <row r="566">
      <c r="E566" s="13"/>
      <c r="H566" s="16"/>
      <c r="I566" s="16"/>
    </row>
    <row r="567">
      <c r="E567" s="13"/>
      <c r="H567" s="16"/>
      <c r="I567" s="16"/>
    </row>
    <row r="568">
      <c r="E568" s="13"/>
      <c r="H568" s="16"/>
      <c r="I568" s="16"/>
    </row>
    <row r="569">
      <c r="E569" s="13"/>
      <c r="H569" s="16"/>
      <c r="I569" s="16"/>
    </row>
    <row r="570">
      <c r="E570" s="13"/>
      <c r="H570" s="16"/>
      <c r="I570" s="16"/>
    </row>
    <row r="571">
      <c r="E571" s="13"/>
      <c r="H571" s="16"/>
      <c r="I571" s="16"/>
    </row>
    <row r="572">
      <c r="E572" s="13"/>
      <c r="H572" s="16"/>
      <c r="I572" s="16"/>
    </row>
    <row r="573">
      <c r="E573" s="13"/>
      <c r="H573" s="16"/>
      <c r="I573" s="16"/>
    </row>
    <row r="574">
      <c r="E574" s="13"/>
      <c r="H574" s="16"/>
      <c r="I574" s="16"/>
    </row>
    <row r="575">
      <c r="E575" s="13"/>
      <c r="H575" s="16"/>
      <c r="I575" s="16"/>
    </row>
    <row r="576">
      <c r="E576" s="13"/>
      <c r="H576" s="16"/>
      <c r="I576" s="16"/>
    </row>
    <row r="577">
      <c r="E577" s="13"/>
      <c r="H577" s="16"/>
      <c r="I577" s="16"/>
    </row>
    <row r="578">
      <c r="E578" s="13"/>
      <c r="H578" s="16"/>
      <c r="I578" s="16"/>
    </row>
    <row r="579">
      <c r="E579" s="13"/>
      <c r="H579" s="16"/>
      <c r="I579" s="16"/>
    </row>
    <row r="580">
      <c r="E580" s="13"/>
      <c r="H580" s="16"/>
      <c r="I580" s="16"/>
    </row>
    <row r="581">
      <c r="E581" s="13"/>
      <c r="H581" s="16"/>
      <c r="I581" s="16"/>
    </row>
    <row r="582">
      <c r="E582" s="13"/>
      <c r="H582" s="16"/>
      <c r="I582" s="16"/>
    </row>
    <row r="583">
      <c r="E583" s="13"/>
      <c r="H583" s="16"/>
      <c r="I583" s="16"/>
    </row>
    <row r="584">
      <c r="E584" s="13"/>
      <c r="H584" s="16"/>
      <c r="I584" s="16"/>
    </row>
    <row r="585">
      <c r="E585" s="13"/>
      <c r="H585" s="16"/>
      <c r="I585" s="16"/>
    </row>
    <row r="586">
      <c r="E586" s="13"/>
      <c r="H586" s="16"/>
      <c r="I586" s="16"/>
    </row>
    <row r="587">
      <c r="E587" s="13"/>
      <c r="H587" s="16"/>
      <c r="I587" s="16"/>
    </row>
    <row r="588">
      <c r="E588" s="13"/>
      <c r="H588" s="16"/>
      <c r="I588" s="16"/>
    </row>
    <row r="589">
      <c r="E589" s="13"/>
      <c r="H589" s="16"/>
      <c r="I589" s="16"/>
    </row>
    <row r="590">
      <c r="E590" s="13"/>
      <c r="H590" s="16"/>
      <c r="I590" s="16"/>
    </row>
    <row r="591">
      <c r="E591" s="13"/>
      <c r="H591" s="16"/>
      <c r="I591" s="16"/>
    </row>
    <row r="592">
      <c r="E592" s="13"/>
      <c r="H592" s="16"/>
      <c r="I592" s="16"/>
    </row>
    <row r="593">
      <c r="E593" s="13"/>
      <c r="H593" s="16"/>
      <c r="I593" s="16"/>
    </row>
    <row r="594">
      <c r="E594" s="13"/>
      <c r="H594" s="16"/>
      <c r="I594" s="16"/>
    </row>
    <row r="595">
      <c r="E595" s="13"/>
      <c r="H595" s="16"/>
      <c r="I595" s="16"/>
    </row>
    <row r="596">
      <c r="E596" s="13"/>
      <c r="H596" s="16"/>
      <c r="I596" s="16"/>
    </row>
    <row r="597">
      <c r="E597" s="13"/>
      <c r="H597" s="16"/>
      <c r="I597" s="16"/>
    </row>
    <row r="598">
      <c r="E598" s="13"/>
      <c r="H598" s="16"/>
      <c r="I598" s="16"/>
    </row>
    <row r="599">
      <c r="E599" s="13"/>
      <c r="H599" s="16"/>
      <c r="I599" s="16"/>
    </row>
    <row r="600">
      <c r="E600" s="13"/>
      <c r="H600" s="16"/>
      <c r="I600" s="16"/>
    </row>
    <row r="601">
      <c r="E601" s="13"/>
      <c r="H601" s="16"/>
      <c r="I601" s="16"/>
    </row>
    <row r="602">
      <c r="E602" s="13"/>
      <c r="H602" s="16"/>
      <c r="I602" s="16"/>
    </row>
    <row r="603">
      <c r="E603" s="13"/>
      <c r="H603" s="16"/>
      <c r="I603" s="16"/>
    </row>
    <row r="604">
      <c r="E604" s="13"/>
      <c r="H604" s="16"/>
      <c r="I604" s="16"/>
    </row>
    <row r="605">
      <c r="E605" s="13"/>
      <c r="H605" s="16"/>
      <c r="I605" s="16"/>
    </row>
    <row r="606">
      <c r="E606" s="13"/>
      <c r="H606" s="16"/>
      <c r="I606" s="16"/>
    </row>
    <row r="607">
      <c r="E607" s="13"/>
      <c r="H607" s="16"/>
      <c r="I607" s="16"/>
    </row>
    <row r="608">
      <c r="E608" s="13"/>
      <c r="H608" s="16"/>
      <c r="I608" s="16"/>
    </row>
    <row r="609">
      <c r="E609" s="13"/>
      <c r="H609" s="16"/>
      <c r="I609" s="16"/>
    </row>
    <row r="610">
      <c r="E610" s="13"/>
      <c r="H610" s="16"/>
      <c r="I610" s="16"/>
    </row>
    <row r="611">
      <c r="E611" s="13"/>
      <c r="H611" s="16"/>
      <c r="I611" s="16"/>
    </row>
    <row r="612">
      <c r="E612" s="13"/>
      <c r="H612" s="16"/>
      <c r="I612" s="16"/>
    </row>
    <row r="613">
      <c r="E613" s="13"/>
      <c r="H613" s="16"/>
      <c r="I613" s="16"/>
    </row>
    <row r="614">
      <c r="E614" s="13"/>
      <c r="H614" s="16"/>
      <c r="I614" s="16"/>
    </row>
    <row r="615">
      <c r="E615" s="13"/>
      <c r="H615" s="16"/>
      <c r="I615" s="16"/>
    </row>
    <row r="616">
      <c r="E616" s="13"/>
      <c r="H616" s="16"/>
      <c r="I616" s="16"/>
    </row>
    <row r="617">
      <c r="E617" s="13"/>
      <c r="H617" s="16"/>
      <c r="I617" s="16"/>
    </row>
    <row r="618">
      <c r="E618" s="13"/>
      <c r="H618" s="16"/>
      <c r="I618" s="16"/>
    </row>
    <row r="619">
      <c r="E619" s="13"/>
      <c r="H619" s="16"/>
      <c r="I619" s="16"/>
    </row>
    <row r="620">
      <c r="E620" s="13"/>
      <c r="H620" s="16"/>
      <c r="I620" s="16"/>
    </row>
    <row r="621">
      <c r="E621" s="13"/>
      <c r="H621" s="16"/>
      <c r="I621" s="16"/>
    </row>
    <row r="622">
      <c r="E622" s="13"/>
      <c r="H622" s="16"/>
      <c r="I622" s="16"/>
    </row>
    <row r="623">
      <c r="E623" s="13"/>
      <c r="H623" s="16"/>
      <c r="I623" s="16"/>
    </row>
    <row r="624">
      <c r="E624" s="13"/>
      <c r="H624" s="16"/>
      <c r="I624" s="16"/>
    </row>
    <row r="625">
      <c r="E625" s="13"/>
      <c r="H625" s="16"/>
      <c r="I625" s="16"/>
    </row>
    <row r="626">
      <c r="E626" s="13"/>
      <c r="H626" s="16"/>
      <c r="I626" s="16"/>
    </row>
    <row r="627">
      <c r="E627" s="13"/>
      <c r="H627" s="16"/>
      <c r="I627" s="16"/>
    </row>
    <row r="628">
      <c r="E628" s="13"/>
      <c r="H628" s="16"/>
      <c r="I628" s="16"/>
    </row>
    <row r="629">
      <c r="E629" s="13"/>
      <c r="H629" s="16"/>
      <c r="I629" s="16"/>
    </row>
    <row r="630">
      <c r="E630" s="13"/>
      <c r="H630" s="16"/>
      <c r="I630" s="16"/>
    </row>
    <row r="631">
      <c r="E631" s="13"/>
      <c r="H631" s="16"/>
      <c r="I631" s="16"/>
    </row>
    <row r="632">
      <c r="E632" s="13"/>
      <c r="H632" s="16"/>
      <c r="I632" s="16"/>
    </row>
    <row r="633">
      <c r="E633" s="13"/>
      <c r="H633" s="16"/>
      <c r="I633" s="16"/>
    </row>
    <row r="634">
      <c r="E634" s="13"/>
      <c r="H634" s="16"/>
      <c r="I634" s="16"/>
    </row>
    <row r="635">
      <c r="E635" s="13"/>
      <c r="H635" s="16"/>
      <c r="I635" s="16"/>
    </row>
    <row r="636">
      <c r="E636" s="13"/>
      <c r="H636" s="16"/>
      <c r="I636" s="16"/>
    </row>
    <row r="637">
      <c r="E637" s="13"/>
      <c r="H637" s="16"/>
      <c r="I637" s="16"/>
    </row>
    <row r="638">
      <c r="E638" s="13"/>
      <c r="H638" s="16"/>
      <c r="I638" s="16"/>
    </row>
    <row r="639">
      <c r="E639" s="13"/>
      <c r="H639" s="16"/>
      <c r="I639" s="16"/>
    </row>
    <row r="640">
      <c r="E640" s="13"/>
      <c r="H640" s="16"/>
      <c r="I640" s="16"/>
    </row>
    <row r="641">
      <c r="E641" s="13"/>
      <c r="H641" s="16"/>
      <c r="I641" s="16"/>
    </row>
    <row r="642">
      <c r="E642" s="13"/>
      <c r="H642" s="16"/>
      <c r="I642" s="16"/>
    </row>
    <row r="643">
      <c r="E643" s="13"/>
      <c r="H643" s="16"/>
      <c r="I643" s="16"/>
    </row>
    <row r="644">
      <c r="E644" s="13"/>
      <c r="H644" s="16"/>
      <c r="I644" s="16"/>
    </row>
    <row r="645">
      <c r="E645" s="13"/>
      <c r="H645" s="16"/>
      <c r="I645" s="16"/>
    </row>
    <row r="646">
      <c r="E646" s="13"/>
      <c r="H646" s="16"/>
      <c r="I646" s="16"/>
    </row>
    <row r="647">
      <c r="E647" s="13"/>
      <c r="H647" s="16"/>
      <c r="I647" s="16"/>
    </row>
    <row r="648">
      <c r="E648" s="13"/>
      <c r="H648" s="16"/>
      <c r="I648" s="16"/>
    </row>
    <row r="649">
      <c r="E649" s="13"/>
      <c r="H649" s="16"/>
      <c r="I649" s="16"/>
    </row>
    <row r="650">
      <c r="E650" s="13"/>
      <c r="H650" s="16"/>
      <c r="I650" s="16"/>
    </row>
    <row r="651">
      <c r="E651" s="13"/>
      <c r="H651" s="16"/>
      <c r="I651" s="16"/>
    </row>
    <row r="652">
      <c r="E652" s="13"/>
      <c r="H652" s="16"/>
      <c r="I652" s="16"/>
    </row>
    <row r="653">
      <c r="E653" s="13"/>
      <c r="H653" s="16"/>
      <c r="I653" s="16"/>
    </row>
    <row r="654">
      <c r="E654" s="13"/>
      <c r="H654" s="16"/>
      <c r="I654" s="16"/>
    </row>
    <row r="655">
      <c r="E655" s="13"/>
      <c r="H655" s="16"/>
      <c r="I655" s="16"/>
    </row>
    <row r="656">
      <c r="E656" s="13"/>
      <c r="H656" s="16"/>
      <c r="I656" s="16"/>
    </row>
    <row r="657">
      <c r="E657" s="13"/>
      <c r="H657" s="16"/>
      <c r="I657" s="16"/>
    </row>
    <row r="658">
      <c r="E658" s="13"/>
      <c r="H658" s="16"/>
      <c r="I658" s="16"/>
    </row>
    <row r="659">
      <c r="E659" s="13"/>
      <c r="H659" s="16"/>
      <c r="I659" s="16"/>
    </row>
    <row r="660">
      <c r="E660" s="13"/>
      <c r="H660" s="16"/>
      <c r="I660" s="16"/>
    </row>
    <row r="661">
      <c r="E661" s="13"/>
      <c r="H661" s="16"/>
      <c r="I661" s="16"/>
    </row>
    <row r="662">
      <c r="E662" s="13"/>
      <c r="H662" s="16"/>
      <c r="I662" s="16"/>
    </row>
    <row r="663">
      <c r="E663" s="13"/>
      <c r="H663" s="16"/>
      <c r="I663" s="16"/>
    </row>
    <row r="664">
      <c r="E664" s="13"/>
      <c r="H664" s="16"/>
      <c r="I664" s="16"/>
    </row>
    <row r="665">
      <c r="E665" s="13"/>
      <c r="H665" s="16"/>
      <c r="I665" s="16"/>
    </row>
    <row r="666">
      <c r="E666" s="13"/>
      <c r="H666" s="16"/>
      <c r="I666" s="16"/>
    </row>
    <row r="667">
      <c r="E667" s="13"/>
      <c r="H667" s="16"/>
      <c r="I667" s="16"/>
    </row>
    <row r="668">
      <c r="E668" s="13"/>
      <c r="H668" s="16"/>
      <c r="I668" s="16"/>
    </row>
    <row r="669">
      <c r="E669" s="13"/>
      <c r="H669" s="16"/>
      <c r="I669" s="16"/>
    </row>
    <row r="670">
      <c r="E670" s="13"/>
      <c r="H670" s="16"/>
      <c r="I670" s="16"/>
    </row>
    <row r="671">
      <c r="E671" s="13"/>
      <c r="H671" s="16"/>
      <c r="I671" s="16"/>
    </row>
    <row r="672">
      <c r="E672" s="13"/>
      <c r="H672" s="16"/>
      <c r="I672" s="16"/>
    </row>
    <row r="673">
      <c r="E673" s="13"/>
      <c r="H673" s="16"/>
      <c r="I673" s="16"/>
    </row>
    <row r="674">
      <c r="E674" s="13"/>
      <c r="H674" s="16"/>
      <c r="I674" s="16"/>
    </row>
    <row r="675">
      <c r="E675" s="13"/>
      <c r="H675" s="16"/>
      <c r="I675" s="16"/>
    </row>
    <row r="676">
      <c r="E676" s="13"/>
      <c r="H676" s="16"/>
      <c r="I676" s="16"/>
    </row>
    <row r="677">
      <c r="E677" s="13"/>
      <c r="H677" s="16"/>
      <c r="I677" s="16"/>
    </row>
    <row r="678">
      <c r="E678" s="13"/>
      <c r="H678" s="16"/>
      <c r="I678" s="16"/>
    </row>
    <row r="679">
      <c r="E679" s="13"/>
      <c r="H679" s="16"/>
      <c r="I679" s="16"/>
    </row>
    <row r="680">
      <c r="E680" s="13"/>
      <c r="H680" s="16"/>
      <c r="I680" s="16"/>
    </row>
    <row r="681">
      <c r="E681" s="13"/>
      <c r="H681" s="16"/>
      <c r="I681" s="16"/>
    </row>
    <row r="682">
      <c r="E682" s="13"/>
      <c r="H682" s="16"/>
      <c r="I682" s="16"/>
    </row>
    <row r="683">
      <c r="E683" s="13"/>
      <c r="H683" s="16"/>
      <c r="I683" s="16"/>
    </row>
    <row r="684">
      <c r="E684" s="13"/>
      <c r="H684" s="16"/>
      <c r="I684" s="16"/>
    </row>
    <row r="685">
      <c r="E685" s="13"/>
      <c r="H685" s="16"/>
      <c r="I685" s="16"/>
    </row>
    <row r="686">
      <c r="E686" s="13"/>
      <c r="H686" s="16"/>
      <c r="I686" s="16"/>
    </row>
    <row r="687">
      <c r="E687" s="13"/>
      <c r="H687" s="16"/>
      <c r="I687" s="16"/>
    </row>
    <row r="688">
      <c r="E688" s="13"/>
      <c r="H688" s="16"/>
      <c r="I688" s="16"/>
    </row>
    <row r="689">
      <c r="E689" s="13"/>
      <c r="H689" s="16"/>
      <c r="I689" s="16"/>
    </row>
    <row r="690">
      <c r="E690" s="13"/>
      <c r="H690" s="16"/>
      <c r="I690" s="16"/>
    </row>
    <row r="691">
      <c r="E691" s="13"/>
      <c r="H691" s="16"/>
      <c r="I691" s="16"/>
    </row>
    <row r="692">
      <c r="E692" s="13"/>
      <c r="H692" s="16"/>
      <c r="I692" s="16"/>
    </row>
    <row r="693">
      <c r="E693" s="13"/>
      <c r="H693" s="16"/>
      <c r="I693" s="16"/>
    </row>
    <row r="694">
      <c r="E694" s="13"/>
      <c r="H694" s="16"/>
      <c r="I694" s="16"/>
    </row>
    <row r="695">
      <c r="E695" s="13"/>
      <c r="H695" s="16"/>
      <c r="I695" s="16"/>
    </row>
    <row r="696">
      <c r="E696" s="13"/>
      <c r="H696" s="16"/>
      <c r="I696" s="16"/>
    </row>
    <row r="697">
      <c r="E697" s="13"/>
      <c r="H697" s="16"/>
      <c r="I697" s="16"/>
    </row>
    <row r="698">
      <c r="E698" s="13"/>
      <c r="H698" s="16"/>
      <c r="I698" s="16"/>
    </row>
    <row r="699">
      <c r="E699" s="13"/>
      <c r="H699" s="16"/>
      <c r="I699" s="16"/>
    </row>
    <row r="700">
      <c r="E700" s="13"/>
      <c r="H700" s="16"/>
      <c r="I700" s="16"/>
    </row>
    <row r="701">
      <c r="E701" s="13"/>
      <c r="H701" s="16"/>
      <c r="I701" s="16"/>
    </row>
    <row r="702">
      <c r="E702" s="13"/>
      <c r="H702" s="16"/>
      <c r="I702" s="16"/>
    </row>
    <row r="703">
      <c r="E703" s="13"/>
      <c r="H703" s="16"/>
      <c r="I703" s="16"/>
    </row>
    <row r="704">
      <c r="E704" s="13"/>
      <c r="H704" s="16"/>
      <c r="I704" s="16"/>
    </row>
    <row r="705">
      <c r="E705" s="13"/>
      <c r="H705" s="16"/>
      <c r="I705" s="16"/>
    </row>
    <row r="706">
      <c r="E706" s="13"/>
      <c r="H706" s="16"/>
      <c r="I706" s="16"/>
    </row>
    <row r="707">
      <c r="E707" s="13"/>
      <c r="H707" s="16"/>
      <c r="I707" s="16"/>
    </row>
    <row r="708">
      <c r="E708" s="13"/>
      <c r="H708" s="16"/>
      <c r="I708" s="16"/>
    </row>
    <row r="709">
      <c r="E709" s="13"/>
      <c r="H709" s="16"/>
      <c r="I709" s="16"/>
    </row>
    <row r="710">
      <c r="E710" s="13"/>
      <c r="H710" s="16"/>
      <c r="I710" s="16"/>
    </row>
    <row r="711">
      <c r="E711" s="13"/>
      <c r="H711" s="16"/>
      <c r="I711" s="16"/>
    </row>
    <row r="712">
      <c r="E712" s="13"/>
      <c r="H712" s="16"/>
      <c r="I712" s="16"/>
    </row>
    <row r="713">
      <c r="E713" s="13"/>
      <c r="H713" s="16"/>
      <c r="I713" s="16"/>
    </row>
    <row r="714">
      <c r="E714" s="13"/>
      <c r="H714" s="16"/>
      <c r="I714" s="16"/>
    </row>
    <row r="715">
      <c r="E715" s="13"/>
      <c r="H715" s="16"/>
      <c r="I715" s="16"/>
    </row>
    <row r="716">
      <c r="E716" s="13"/>
      <c r="H716" s="16"/>
      <c r="I716" s="16"/>
    </row>
    <row r="717">
      <c r="E717" s="13"/>
      <c r="H717" s="16"/>
      <c r="I717" s="16"/>
    </row>
    <row r="718">
      <c r="E718" s="13"/>
      <c r="H718" s="16"/>
      <c r="I718" s="16"/>
    </row>
    <row r="719">
      <c r="E719" s="13"/>
      <c r="H719" s="16"/>
      <c r="I719" s="16"/>
    </row>
    <row r="720">
      <c r="E720" s="13"/>
      <c r="H720" s="16"/>
      <c r="I720" s="16"/>
    </row>
    <row r="721">
      <c r="E721" s="13"/>
      <c r="H721" s="16"/>
      <c r="I721" s="16"/>
    </row>
    <row r="722">
      <c r="E722" s="13"/>
      <c r="H722" s="16"/>
      <c r="I722" s="16"/>
    </row>
    <row r="723">
      <c r="E723" s="13"/>
      <c r="H723" s="16"/>
      <c r="I723" s="16"/>
    </row>
    <row r="724">
      <c r="E724" s="13"/>
      <c r="H724" s="16"/>
      <c r="I724" s="16"/>
    </row>
    <row r="725">
      <c r="E725" s="13"/>
      <c r="H725" s="16"/>
      <c r="I725" s="16"/>
    </row>
    <row r="726">
      <c r="E726" s="13"/>
      <c r="H726" s="16"/>
      <c r="I726" s="16"/>
    </row>
    <row r="727">
      <c r="E727" s="13"/>
      <c r="H727" s="16"/>
      <c r="I727" s="16"/>
    </row>
    <row r="728">
      <c r="E728" s="13"/>
      <c r="H728" s="16"/>
      <c r="I728" s="16"/>
    </row>
    <row r="729">
      <c r="E729" s="13"/>
      <c r="H729" s="16"/>
      <c r="I729" s="16"/>
    </row>
    <row r="730">
      <c r="E730" s="13"/>
      <c r="H730" s="16"/>
      <c r="I730" s="16"/>
    </row>
    <row r="731">
      <c r="E731" s="13"/>
      <c r="H731" s="16"/>
      <c r="I731" s="16"/>
    </row>
    <row r="732">
      <c r="E732" s="13"/>
      <c r="H732" s="16"/>
      <c r="I732" s="16"/>
    </row>
    <row r="733">
      <c r="E733" s="13"/>
      <c r="H733" s="16"/>
      <c r="I733" s="16"/>
    </row>
    <row r="734">
      <c r="E734" s="13"/>
      <c r="H734" s="16"/>
      <c r="I734" s="16"/>
    </row>
    <row r="735">
      <c r="E735" s="13"/>
      <c r="H735" s="16"/>
      <c r="I735" s="16"/>
    </row>
    <row r="736">
      <c r="E736" s="13"/>
      <c r="H736" s="16"/>
      <c r="I736" s="16"/>
    </row>
    <row r="737">
      <c r="E737" s="13"/>
      <c r="H737" s="16"/>
      <c r="I737" s="16"/>
    </row>
    <row r="738">
      <c r="E738" s="13"/>
      <c r="H738" s="16"/>
      <c r="I738" s="16"/>
    </row>
    <row r="739">
      <c r="E739" s="13"/>
      <c r="H739" s="16"/>
      <c r="I739" s="16"/>
    </row>
    <row r="740">
      <c r="E740" s="13"/>
      <c r="H740" s="16"/>
      <c r="I740" s="16"/>
    </row>
    <row r="741">
      <c r="E741" s="13"/>
      <c r="H741" s="16"/>
      <c r="I741" s="16"/>
    </row>
    <row r="742">
      <c r="E742" s="13"/>
      <c r="H742" s="16"/>
      <c r="I742" s="16"/>
    </row>
    <row r="743">
      <c r="E743" s="13"/>
      <c r="H743" s="16"/>
      <c r="I743" s="16"/>
    </row>
    <row r="744">
      <c r="E744" s="13"/>
      <c r="H744" s="16"/>
      <c r="I744" s="16"/>
    </row>
    <row r="745">
      <c r="E745" s="13"/>
      <c r="H745" s="16"/>
      <c r="I745" s="16"/>
    </row>
    <row r="746">
      <c r="E746" s="13"/>
      <c r="H746" s="16"/>
      <c r="I746" s="16"/>
    </row>
    <row r="747">
      <c r="E747" s="13"/>
      <c r="H747" s="16"/>
      <c r="I747" s="16"/>
    </row>
    <row r="748">
      <c r="E748" s="13"/>
      <c r="H748" s="16"/>
      <c r="I748" s="16"/>
    </row>
    <row r="749">
      <c r="E749" s="13"/>
      <c r="H749" s="16"/>
      <c r="I749" s="16"/>
    </row>
    <row r="750">
      <c r="E750" s="13"/>
      <c r="H750" s="16"/>
      <c r="I750" s="16"/>
    </row>
    <row r="751">
      <c r="E751" s="13"/>
      <c r="H751" s="16"/>
      <c r="I751" s="16"/>
    </row>
    <row r="752">
      <c r="E752" s="13"/>
      <c r="H752" s="16"/>
      <c r="I752" s="16"/>
    </row>
    <row r="753">
      <c r="E753" s="13"/>
      <c r="H753" s="16"/>
      <c r="I753" s="16"/>
    </row>
    <row r="754">
      <c r="E754" s="13"/>
      <c r="H754" s="16"/>
      <c r="I754" s="16"/>
    </row>
    <row r="755">
      <c r="E755" s="13"/>
      <c r="H755" s="16"/>
      <c r="I755" s="16"/>
    </row>
    <row r="756">
      <c r="E756" s="13"/>
      <c r="H756" s="16"/>
      <c r="I756" s="16"/>
    </row>
    <row r="757">
      <c r="E757" s="13"/>
      <c r="H757" s="16"/>
      <c r="I757" s="16"/>
    </row>
    <row r="758">
      <c r="E758" s="13"/>
      <c r="H758" s="16"/>
      <c r="I758" s="16"/>
    </row>
    <row r="759">
      <c r="E759" s="13"/>
      <c r="H759" s="16"/>
      <c r="I759" s="16"/>
    </row>
    <row r="760">
      <c r="E760" s="13"/>
      <c r="H760" s="16"/>
      <c r="I760" s="16"/>
    </row>
    <row r="761">
      <c r="E761" s="13"/>
      <c r="H761" s="16"/>
      <c r="I761" s="16"/>
    </row>
    <row r="762">
      <c r="E762" s="13"/>
      <c r="H762" s="16"/>
      <c r="I762" s="16"/>
    </row>
    <row r="763">
      <c r="E763" s="13"/>
      <c r="H763" s="16"/>
      <c r="I763" s="16"/>
    </row>
    <row r="764">
      <c r="E764" s="13"/>
      <c r="H764" s="16"/>
      <c r="I764" s="16"/>
    </row>
    <row r="765">
      <c r="E765" s="13"/>
      <c r="H765" s="16"/>
      <c r="I765" s="16"/>
    </row>
    <row r="766">
      <c r="E766" s="13"/>
      <c r="H766" s="16"/>
      <c r="I766" s="16"/>
    </row>
    <row r="767">
      <c r="E767" s="13"/>
      <c r="H767" s="16"/>
      <c r="I767" s="16"/>
    </row>
    <row r="768">
      <c r="E768" s="13"/>
      <c r="H768" s="16"/>
      <c r="I768" s="16"/>
    </row>
    <row r="769">
      <c r="E769" s="13"/>
      <c r="H769" s="16"/>
      <c r="I769" s="16"/>
    </row>
    <row r="770">
      <c r="E770" s="13"/>
      <c r="H770" s="16"/>
      <c r="I770" s="16"/>
    </row>
    <row r="771">
      <c r="E771" s="13"/>
      <c r="H771" s="16"/>
      <c r="I771" s="16"/>
    </row>
    <row r="772">
      <c r="E772" s="13"/>
      <c r="H772" s="16"/>
      <c r="I772" s="16"/>
    </row>
    <row r="773">
      <c r="E773" s="13"/>
      <c r="H773" s="16"/>
      <c r="I773" s="16"/>
    </row>
    <row r="774">
      <c r="E774" s="13"/>
      <c r="H774" s="16"/>
      <c r="I774" s="16"/>
    </row>
    <row r="775">
      <c r="E775" s="13"/>
      <c r="H775" s="16"/>
      <c r="I775" s="16"/>
    </row>
    <row r="776">
      <c r="E776" s="13"/>
      <c r="H776" s="16"/>
      <c r="I776" s="16"/>
    </row>
    <row r="777">
      <c r="E777" s="13"/>
      <c r="H777" s="16"/>
      <c r="I777" s="16"/>
    </row>
    <row r="778">
      <c r="E778" s="13"/>
      <c r="H778" s="16"/>
      <c r="I778" s="16"/>
    </row>
    <row r="779">
      <c r="E779" s="13"/>
      <c r="H779" s="16"/>
      <c r="I779" s="16"/>
    </row>
    <row r="780">
      <c r="E780" s="13"/>
      <c r="H780" s="16"/>
      <c r="I780" s="16"/>
    </row>
    <row r="781">
      <c r="E781" s="13"/>
      <c r="H781" s="16"/>
      <c r="I781" s="16"/>
    </row>
    <row r="782">
      <c r="E782" s="13"/>
      <c r="H782" s="16"/>
      <c r="I782" s="16"/>
    </row>
    <row r="783">
      <c r="E783" s="13"/>
      <c r="H783" s="16"/>
      <c r="I783" s="16"/>
    </row>
    <row r="784">
      <c r="E784" s="13"/>
      <c r="H784" s="16"/>
      <c r="I784" s="16"/>
    </row>
    <row r="785">
      <c r="E785" s="13"/>
      <c r="H785" s="16"/>
      <c r="I785" s="16"/>
    </row>
    <row r="786">
      <c r="E786" s="13"/>
      <c r="H786" s="16"/>
      <c r="I786" s="16"/>
    </row>
    <row r="787">
      <c r="E787" s="13"/>
      <c r="H787" s="16"/>
      <c r="I787" s="16"/>
    </row>
    <row r="788">
      <c r="E788" s="13"/>
      <c r="H788" s="16"/>
      <c r="I788" s="16"/>
    </row>
    <row r="789">
      <c r="E789" s="13"/>
      <c r="H789" s="16"/>
      <c r="I789" s="16"/>
    </row>
    <row r="790">
      <c r="E790" s="13"/>
      <c r="H790" s="16"/>
      <c r="I790" s="16"/>
    </row>
    <row r="791">
      <c r="E791" s="13"/>
      <c r="H791" s="16"/>
      <c r="I791" s="16"/>
    </row>
    <row r="792">
      <c r="E792" s="13"/>
      <c r="H792" s="16"/>
      <c r="I792" s="16"/>
    </row>
    <row r="793">
      <c r="E793" s="13"/>
      <c r="H793" s="16"/>
      <c r="I793" s="16"/>
    </row>
    <row r="794">
      <c r="E794" s="13"/>
      <c r="H794" s="16"/>
      <c r="I794" s="16"/>
    </row>
    <row r="795">
      <c r="E795" s="13"/>
      <c r="H795" s="16"/>
      <c r="I795" s="16"/>
    </row>
    <row r="796">
      <c r="E796" s="13"/>
      <c r="H796" s="16"/>
      <c r="I796" s="16"/>
    </row>
    <row r="797">
      <c r="E797" s="13"/>
      <c r="H797" s="16"/>
      <c r="I797" s="16"/>
    </row>
    <row r="798">
      <c r="E798" s="13"/>
      <c r="H798" s="16"/>
      <c r="I798" s="16"/>
    </row>
    <row r="799">
      <c r="E799" s="13"/>
      <c r="H799" s="16"/>
      <c r="I799" s="16"/>
    </row>
    <row r="800">
      <c r="E800" s="13"/>
      <c r="H800" s="16"/>
      <c r="I800" s="16"/>
    </row>
    <row r="801">
      <c r="E801" s="13"/>
      <c r="H801" s="16"/>
      <c r="I801" s="16"/>
    </row>
    <row r="802">
      <c r="E802" s="13"/>
      <c r="H802" s="16"/>
      <c r="I802" s="16"/>
    </row>
    <row r="803">
      <c r="E803" s="13"/>
      <c r="H803" s="16"/>
      <c r="I803" s="16"/>
    </row>
    <row r="804">
      <c r="E804" s="13"/>
      <c r="H804" s="16"/>
      <c r="I804" s="16"/>
    </row>
    <row r="805">
      <c r="E805" s="13"/>
      <c r="H805" s="16"/>
      <c r="I805" s="16"/>
    </row>
    <row r="806">
      <c r="E806" s="13"/>
      <c r="H806" s="16"/>
      <c r="I806" s="16"/>
    </row>
    <row r="807">
      <c r="E807" s="13"/>
      <c r="H807" s="16"/>
      <c r="I807" s="16"/>
    </row>
    <row r="808">
      <c r="E808" s="13"/>
      <c r="H808" s="16"/>
      <c r="I808" s="16"/>
    </row>
    <row r="809">
      <c r="E809" s="13"/>
      <c r="H809" s="16"/>
      <c r="I809" s="16"/>
    </row>
    <row r="810">
      <c r="E810" s="13"/>
      <c r="H810" s="16"/>
      <c r="I810" s="16"/>
    </row>
    <row r="811">
      <c r="E811" s="13"/>
      <c r="H811" s="16"/>
      <c r="I811" s="16"/>
    </row>
    <row r="812">
      <c r="E812" s="13"/>
      <c r="H812" s="16"/>
      <c r="I812" s="16"/>
    </row>
    <row r="813">
      <c r="E813" s="13"/>
      <c r="H813" s="16"/>
      <c r="I813" s="16"/>
    </row>
    <row r="814">
      <c r="E814" s="13"/>
      <c r="H814" s="16"/>
      <c r="I814" s="16"/>
    </row>
    <row r="815">
      <c r="E815" s="13"/>
      <c r="H815" s="16"/>
      <c r="I815" s="16"/>
    </row>
    <row r="816">
      <c r="E816" s="13"/>
      <c r="H816" s="16"/>
      <c r="I816" s="16"/>
    </row>
    <row r="817">
      <c r="E817" s="13"/>
      <c r="H817" s="16"/>
      <c r="I817" s="16"/>
    </row>
    <row r="818">
      <c r="E818" s="13"/>
      <c r="H818" s="16"/>
      <c r="I818" s="16"/>
    </row>
    <row r="819">
      <c r="E819" s="13"/>
      <c r="H819" s="16"/>
      <c r="I819" s="16"/>
    </row>
    <row r="820">
      <c r="E820" s="13"/>
      <c r="H820" s="16"/>
      <c r="I820" s="16"/>
    </row>
    <row r="821">
      <c r="E821" s="13"/>
      <c r="H821" s="16"/>
      <c r="I821" s="16"/>
    </row>
    <row r="822">
      <c r="E822" s="13"/>
      <c r="H822" s="16"/>
      <c r="I822" s="16"/>
    </row>
    <row r="823">
      <c r="E823" s="13"/>
      <c r="H823" s="16"/>
      <c r="I823" s="16"/>
    </row>
    <row r="824">
      <c r="E824" s="13"/>
      <c r="H824" s="16"/>
      <c r="I824" s="16"/>
    </row>
    <row r="825">
      <c r="E825" s="13"/>
      <c r="H825" s="16"/>
      <c r="I825" s="16"/>
    </row>
    <row r="826">
      <c r="E826" s="13"/>
      <c r="H826" s="16"/>
      <c r="I826" s="16"/>
    </row>
    <row r="827">
      <c r="E827" s="13"/>
      <c r="H827" s="16"/>
      <c r="I827" s="16"/>
    </row>
    <row r="828">
      <c r="E828" s="13"/>
      <c r="H828" s="16"/>
      <c r="I828" s="16"/>
    </row>
    <row r="829">
      <c r="E829" s="13"/>
      <c r="H829" s="16"/>
      <c r="I829" s="16"/>
    </row>
    <row r="830">
      <c r="E830" s="13"/>
      <c r="H830" s="16"/>
      <c r="I830" s="16"/>
    </row>
    <row r="831">
      <c r="E831" s="13"/>
      <c r="H831" s="16"/>
      <c r="I831" s="16"/>
    </row>
    <row r="832">
      <c r="E832" s="13"/>
      <c r="H832" s="16"/>
      <c r="I832" s="16"/>
    </row>
    <row r="833">
      <c r="E833" s="13"/>
      <c r="H833" s="16"/>
      <c r="I833" s="16"/>
    </row>
    <row r="834">
      <c r="E834" s="13"/>
      <c r="H834" s="16"/>
      <c r="I834" s="16"/>
    </row>
    <row r="835">
      <c r="E835" s="13"/>
      <c r="H835" s="16"/>
      <c r="I835" s="16"/>
    </row>
    <row r="836">
      <c r="E836" s="13"/>
      <c r="H836" s="16"/>
      <c r="I836" s="16"/>
    </row>
    <row r="837">
      <c r="E837" s="13"/>
      <c r="H837" s="16"/>
      <c r="I837" s="16"/>
    </row>
    <row r="838">
      <c r="E838" s="13"/>
      <c r="H838" s="16"/>
      <c r="I838" s="16"/>
    </row>
    <row r="839">
      <c r="E839" s="13"/>
      <c r="H839" s="16"/>
      <c r="I839" s="16"/>
    </row>
    <row r="840">
      <c r="E840" s="13"/>
      <c r="H840" s="16"/>
      <c r="I840" s="16"/>
    </row>
    <row r="841">
      <c r="E841" s="13"/>
      <c r="H841" s="16"/>
      <c r="I841" s="16"/>
    </row>
    <row r="842">
      <c r="E842" s="13"/>
      <c r="H842" s="16"/>
      <c r="I842" s="16"/>
    </row>
    <row r="843">
      <c r="E843" s="13"/>
      <c r="H843" s="16"/>
      <c r="I843" s="16"/>
    </row>
    <row r="844">
      <c r="E844" s="13"/>
      <c r="H844" s="16"/>
      <c r="I844" s="16"/>
    </row>
    <row r="845">
      <c r="E845" s="13"/>
      <c r="H845" s="16"/>
      <c r="I845" s="16"/>
    </row>
    <row r="846">
      <c r="E846" s="13"/>
      <c r="H846" s="16"/>
      <c r="I846" s="16"/>
    </row>
    <row r="847">
      <c r="E847" s="13"/>
      <c r="H847" s="16"/>
      <c r="I847" s="16"/>
    </row>
    <row r="848">
      <c r="E848" s="13"/>
      <c r="H848" s="16"/>
      <c r="I848" s="16"/>
    </row>
    <row r="849">
      <c r="E849" s="13"/>
      <c r="H849" s="16"/>
      <c r="I849" s="16"/>
    </row>
    <row r="850">
      <c r="E850" s="13"/>
      <c r="H850" s="16"/>
      <c r="I850" s="16"/>
    </row>
    <row r="851">
      <c r="E851" s="13"/>
      <c r="H851" s="16"/>
      <c r="I851" s="16"/>
    </row>
    <row r="852">
      <c r="E852" s="13"/>
      <c r="H852" s="16"/>
      <c r="I852" s="16"/>
    </row>
    <row r="853">
      <c r="E853" s="13"/>
      <c r="H853" s="16"/>
      <c r="I853" s="16"/>
    </row>
    <row r="854">
      <c r="E854" s="13"/>
      <c r="H854" s="16"/>
      <c r="I854" s="16"/>
    </row>
    <row r="855">
      <c r="E855" s="13"/>
      <c r="H855" s="16"/>
      <c r="I855" s="16"/>
    </row>
    <row r="856">
      <c r="E856" s="13"/>
      <c r="H856" s="16"/>
      <c r="I856" s="16"/>
    </row>
    <row r="857">
      <c r="E857" s="13"/>
      <c r="H857" s="16"/>
      <c r="I857" s="16"/>
    </row>
    <row r="858">
      <c r="E858" s="13"/>
      <c r="H858" s="16"/>
      <c r="I858" s="16"/>
    </row>
    <row r="859">
      <c r="E859" s="13"/>
      <c r="H859" s="16"/>
      <c r="I859" s="16"/>
    </row>
    <row r="860">
      <c r="E860" s="13"/>
      <c r="H860" s="16"/>
      <c r="I860" s="16"/>
    </row>
    <row r="861">
      <c r="E861" s="13"/>
      <c r="H861" s="16"/>
      <c r="I861" s="16"/>
    </row>
    <row r="862">
      <c r="E862" s="13"/>
      <c r="H862" s="16"/>
      <c r="I862" s="16"/>
    </row>
    <row r="863">
      <c r="E863" s="13"/>
      <c r="H863" s="16"/>
      <c r="I863" s="16"/>
    </row>
    <row r="864">
      <c r="E864" s="13"/>
      <c r="H864" s="16"/>
      <c r="I864" s="16"/>
    </row>
    <row r="865">
      <c r="E865" s="13"/>
      <c r="H865" s="16"/>
      <c r="I865" s="16"/>
    </row>
    <row r="866">
      <c r="E866" s="13"/>
      <c r="H866" s="16"/>
      <c r="I866" s="16"/>
    </row>
    <row r="867">
      <c r="E867" s="13"/>
      <c r="H867" s="16"/>
      <c r="I867" s="16"/>
    </row>
    <row r="868">
      <c r="E868" s="13"/>
      <c r="H868" s="16"/>
      <c r="I868" s="16"/>
    </row>
    <row r="869">
      <c r="E869" s="13"/>
      <c r="H869" s="16"/>
      <c r="I869" s="16"/>
    </row>
    <row r="870">
      <c r="E870" s="13"/>
      <c r="H870" s="16"/>
      <c r="I870" s="16"/>
    </row>
    <row r="871">
      <c r="E871" s="13"/>
      <c r="H871" s="16"/>
      <c r="I871" s="16"/>
    </row>
    <row r="872">
      <c r="E872" s="13"/>
      <c r="H872" s="16"/>
      <c r="I872" s="16"/>
    </row>
    <row r="873">
      <c r="E873" s="13"/>
      <c r="H873" s="16"/>
      <c r="I873" s="16"/>
    </row>
    <row r="874">
      <c r="E874" s="13"/>
      <c r="H874" s="16"/>
      <c r="I874" s="16"/>
    </row>
    <row r="875">
      <c r="E875" s="13"/>
      <c r="H875" s="16"/>
      <c r="I875" s="16"/>
    </row>
    <row r="876">
      <c r="E876" s="13"/>
      <c r="H876" s="16"/>
      <c r="I876" s="16"/>
    </row>
    <row r="877">
      <c r="E877" s="13"/>
      <c r="H877" s="16"/>
      <c r="I877" s="16"/>
    </row>
    <row r="878">
      <c r="E878" s="13"/>
      <c r="H878" s="16"/>
      <c r="I878" s="16"/>
    </row>
    <row r="879">
      <c r="E879" s="13"/>
      <c r="H879" s="16"/>
      <c r="I879" s="16"/>
    </row>
    <row r="880">
      <c r="E880" s="13"/>
      <c r="H880" s="16"/>
      <c r="I880" s="16"/>
    </row>
    <row r="881">
      <c r="E881" s="13"/>
      <c r="H881" s="16"/>
      <c r="I881" s="16"/>
    </row>
    <row r="882">
      <c r="E882" s="13"/>
      <c r="H882" s="16"/>
      <c r="I882" s="16"/>
    </row>
    <row r="883">
      <c r="E883" s="13"/>
      <c r="H883" s="16"/>
      <c r="I883" s="16"/>
    </row>
    <row r="884">
      <c r="E884" s="13"/>
      <c r="H884" s="16"/>
      <c r="I884" s="16"/>
    </row>
    <row r="885">
      <c r="E885" s="13"/>
      <c r="H885" s="16"/>
      <c r="I885" s="16"/>
    </row>
    <row r="886">
      <c r="E886" s="13"/>
      <c r="H886" s="16"/>
      <c r="I886" s="16"/>
    </row>
    <row r="887">
      <c r="E887" s="13"/>
      <c r="H887" s="16"/>
      <c r="I887" s="16"/>
    </row>
    <row r="888">
      <c r="E888" s="13"/>
      <c r="H888" s="16"/>
      <c r="I888" s="16"/>
    </row>
    <row r="889">
      <c r="E889" s="13"/>
      <c r="H889" s="16"/>
      <c r="I889" s="16"/>
    </row>
    <row r="890">
      <c r="E890" s="13"/>
      <c r="H890" s="16"/>
      <c r="I890" s="16"/>
    </row>
    <row r="891">
      <c r="E891" s="13"/>
      <c r="H891" s="16"/>
      <c r="I891" s="16"/>
    </row>
    <row r="892">
      <c r="E892" s="13"/>
      <c r="H892" s="16"/>
      <c r="I892" s="16"/>
    </row>
    <row r="893">
      <c r="E893" s="13"/>
      <c r="H893" s="16"/>
      <c r="I893" s="16"/>
    </row>
    <row r="894">
      <c r="E894" s="13"/>
      <c r="H894" s="16"/>
      <c r="I894" s="16"/>
    </row>
    <row r="895">
      <c r="E895" s="13"/>
      <c r="H895" s="16"/>
      <c r="I895" s="16"/>
    </row>
    <row r="896">
      <c r="E896" s="13"/>
      <c r="H896" s="16"/>
      <c r="I896" s="16"/>
    </row>
    <row r="897">
      <c r="E897" s="13"/>
      <c r="H897" s="16"/>
      <c r="I897" s="16"/>
    </row>
    <row r="898">
      <c r="E898" s="13"/>
      <c r="H898" s="16"/>
      <c r="I898" s="16"/>
    </row>
    <row r="899">
      <c r="E899" s="13"/>
      <c r="H899" s="16"/>
      <c r="I899" s="16"/>
    </row>
    <row r="900">
      <c r="E900" s="13"/>
      <c r="H900" s="16"/>
      <c r="I900" s="16"/>
    </row>
    <row r="901">
      <c r="E901" s="13"/>
      <c r="H901" s="16"/>
      <c r="I901" s="16"/>
    </row>
    <row r="902">
      <c r="E902" s="13"/>
      <c r="H902" s="16"/>
      <c r="I902" s="16"/>
    </row>
    <row r="903">
      <c r="E903" s="13"/>
      <c r="H903" s="16"/>
      <c r="I903" s="16"/>
    </row>
    <row r="904">
      <c r="E904" s="13"/>
      <c r="H904" s="16"/>
      <c r="I904" s="16"/>
    </row>
    <row r="905">
      <c r="E905" s="13"/>
      <c r="H905" s="16"/>
      <c r="I905" s="16"/>
    </row>
    <row r="906">
      <c r="E906" s="13"/>
      <c r="H906" s="16"/>
      <c r="I906" s="16"/>
    </row>
    <row r="907">
      <c r="E907" s="13"/>
      <c r="H907" s="16"/>
      <c r="I907" s="16"/>
    </row>
    <row r="908">
      <c r="E908" s="13"/>
      <c r="H908" s="16"/>
      <c r="I908" s="16"/>
    </row>
    <row r="909">
      <c r="E909" s="13"/>
      <c r="H909" s="16"/>
      <c r="I909" s="16"/>
    </row>
    <row r="910">
      <c r="E910" s="13"/>
      <c r="H910" s="16"/>
      <c r="I910" s="16"/>
    </row>
    <row r="911">
      <c r="E911" s="13"/>
      <c r="H911" s="16"/>
      <c r="I911" s="16"/>
    </row>
    <row r="912">
      <c r="E912" s="13"/>
      <c r="H912" s="16"/>
      <c r="I912" s="16"/>
    </row>
    <row r="913">
      <c r="E913" s="13"/>
      <c r="H913" s="16"/>
      <c r="I913" s="16"/>
    </row>
    <row r="914">
      <c r="E914" s="13"/>
      <c r="H914" s="16"/>
      <c r="I914" s="16"/>
    </row>
    <row r="915">
      <c r="E915" s="13"/>
      <c r="H915" s="16"/>
      <c r="I915" s="16"/>
    </row>
    <row r="916">
      <c r="E916" s="13"/>
      <c r="H916" s="16"/>
      <c r="I916" s="16"/>
    </row>
    <row r="917">
      <c r="E917" s="13"/>
      <c r="H917" s="16"/>
      <c r="I917" s="16"/>
    </row>
    <row r="918">
      <c r="E918" s="13"/>
      <c r="H918" s="16"/>
      <c r="I918" s="16"/>
    </row>
    <row r="919">
      <c r="E919" s="13"/>
      <c r="H919" s="16"/>
      <c r="I919" s="16"/>
    </row>
    <row r="920">
      <c r="E920" s="13"/>
      <c r="H920" s="16"/>
      <c r="I920" s="16"/>
    </row>
    <row r="921">
      <c r="E921" s="13"/>
      <c r="H921" s="16"/>
      <c r="I921" s="16"/>
    </row>
    <row r="922">
      <c r="E922" s="13"/>
      <c r="H922" s="16"/>
      <c r="I922" s="16"/>
    </row>
    <row r="923">
      <c r="E923" s="13"/>
      <c r="H923" s="16"/>
      <c r="I923" s="16"/>
    </row>
    <row r="924">
      <c r="E924" s="13"/>
      <c r="H924" s="16"/>
      <c r="I924" s="16"/>
    </row>
    <row r="925">
      <c r="E925" s="13"/>
      <c r="H925" s="16"/>
      <c r="I925" s="16"/>
    </row>
    <row r="926">
      <c r="E926" s="13"/>
      <c r="H926" s="16"/>
      <c r="I926" s="16"/>
    </row>
    <row r="927">
      <c r="E927" s="13"/>
      <c r="H927" s="16"/>
      <c r="I927" s="16"/>
    </row>
    <row r="928">
      <c r="E928" s="13"/>
      <c r="H928" s="16"/>
      <c r="I928" s="16"/>
    </row>
    <row r="929">
      <c r="E929" s="13"/>
      <c r="H929" s="16"/>
      <c r="I929" s="16"/>
    </row>
    <row r="930">
      <c r="E930" s="13"/>
      <c r="H930" s="16"/>
      <c r="I930" s="16"/>
    </row>
    <row r="931">
      <c r="E931" s="13"/>
      <c r="H931" s="16"/>
      <c r="I931" s="16"/>
    </row>
    <row r="932">
      <c r="E932" s="13"/>
      <c r="H932" s="16"/>
      <c r="I932" s="16"/>
    </row>
    <row r="933">
      <c r="E933" s="13"/>
      <c r="H933" s="16"/>
      <c r="I933" s="16"/>
    </row>
    <row r="934">
      <c r="E934" s="13"/>
      <c r="H934" s="16"/>
      <c r="I934" s="16"/>
    </row>
    <row r="935">
      <c r="E935" s="13"/>
      <c r="H935" s="16"/>
      <c r="I935" s="16"/>
    </row>
    <row r="936">
      <c r="E936" s="13"/>
      <c r="H936" s="16"/>
      <c r="I936" s="16"/>
    </row>
    <row r="937">
      <c r="E937" s="13"/>
      <c r="H937" s="16"/>
      <c r="I937" s="16"/>
    </row>
    <row r="938">
      <c r="E938" s="13"/>
      <c r="H938" s="16"/>
      <c r="I938" s="16"/>
    </row>
    <row r="939">
      <c r="E939" s="13"/>
      <c r="H939" s="16"/>
      <c r="I939" s="16"/>
    </row>
    <row r="940">
      <c r="E940" s="13"/>
      <c r="H940" s="16"/>
      <c r="I940" s="16"/>
    </row>
    <row r="941">
      <c r="E941" s="13"/>
      <c r="H941" s="16"/>
      <c r="I941" s="16"/>
    </row>
    <row r="942">
      <c r="E942" s="13"/>
      <c r="H942" s="16"/>
      <c r="I942" s="16"/>
    </row>
    <row r="943">
      <c r="E943" s="13"/>
      <c r="H943" s="16"/>
      <c r="I943" s="16"/>
    </row>
    <row r="944">
      <c r="E944" s="13"/>
      <c r="H944" s="16"/>
      <c r="I944" s="16"/>
    </row>
    <row r="945">
      <c r="E945" s="13"/>
      <c r="H945" s="16"/>
      <c r="I945" s="16"/>
    </row>
    <row r="946">
      <c r="E946" s="13"/>
      <c r="H946" s="16"/>
      <c r="I946" s="16"/>
    </row>
    <row r="947">
      <c r="E947" s="13"/>
      <c r="H947" s="16"/>
      <c r="I947" s="16"/>
    </row>
    <row r="948">
      <c r="E948" s="13"/>
      <c r="H948" s="16"/>
      <c r="I948" s="16"/>
    </row>
    <row r="949">
      <c r="E949" s="13"/>
      <c r="H949" s="16"/>
      <c r="I949" s="16"/>
    </row>
    <row r="950">
      <c r="E950" s="13"/>
      <c r="H950" s="16"/>
      <c r="I950" s="16"/>
    </row>
    <row r="951">
      <c r="E951" s="13"/>
      <c r="H951" s="16"/>
      <c r="I951" s="16"/>
    </row>
    <row r="952">
      <c r="E952" s="13"/>
      <c r="H952" s="16"/>
      <c r="I952" s="16"/>
    </row>
    <row r="953">
      <c r="E953" s="13"/>
      <c r="H953" s="16"/>
      <c r="I953" s="16"/>
    </row>
    <row r="954">
      <c r="E954" s="13"/>
      <c r="H954" s="16"/>
      <c r="I954" s="16"/>
    </row>
    <row r="955">
      <c r="E955" s="13"/>
      <c r="H955" s="16"/>
      <c r="I955" s="16"/>
    </row>
    <row r="956">
      <c r="E956" s="13"/>
      <c r="H956" s="16"/>
      <c r="I956" s="16"/>
    </row>
    <row r="957">
      <c r="E957" s="13"/>
      <c r="H957" s="16"/>
      <c r="I957" s="16"/>
    </row>
    <row r="958">
      <c r="E958" s="13"/>
      <c r="H958" s="16"/>
      <c r="I958" s="16"/>
    </row>
    <row r="959">
      <c r="E959" s="13"/>
      <c r="H959" s="16"/>
      <c r="I959" s="16"/>
    </row>
    <row r="960">
      <c r="E960" s="13"/>
      <c r="H960" s="16"/>
      <c r="I960" s="16"/>
    </row>
    <row r="961">
      <c r="E961" s="13"/>
      <c r="H961" s="16"/>
      <c r="I961" s="16"/>
    </row>
    <row r="962">
      <c r="E962" s="13"/>
      <c r="H962" s="16"/>
      <c r="I962" s="16"/>
    </row>
    <row r="963">
      <c r="E963" s="13"/>
      <c r="H963" s="16"/>
      <c r="I963" s="16"/>
    </row>
    <row r="964">
      <c r="E964" s="13"/>
      <c r="H964" s="16"/>
      <c r="I964" s="16"/>
    </row>
    <row r="965">
      <c r="E965" s="13"/>
      <c r="H965" s="16"/>
      <c r="I965" s="16"/>
    </row>
    <row r="966">
      <c r="E966" s="13"/>
      <c r="H966" s="16"/>
      <c r="I966" s="16"/>
    </row>
    <row r="967">
      <c r="E967" s="13"/>
      <c r="H967" s="16"/>
      <c r="I967" s="16"/>
    </row>
    <row r="968">
      <c r="E968" s="13"/>
      <c r="H968" s="16"/>
      <c r="I968" s="16"/>
    </row>
    <row r="969">
      <c r="E969" s="13"/>
      <c r="H969" s="16"/>
      <c r="I969" s="16"/>
    </row>
    <row r="970">
      <c r="E970" s="13"/>
      <c r="H970" s="16"/>
      <c r="I970" s="16"/>
    </row>
    <row r="971">
      <c r="E971" s="13"/>
      <c r="H971" s="16"/>
      <c r="I971" s="16"/>
    </row>
    <row r="972">
      <c r="E972" s="13"/>
      <c r="H972" s="16"/>
      <c r="I972" s="16"/>
    </row>
    <row r="973">
      <c r="E973" s="13"/>
      <c r="H973" s="16"/>
      <c r="I973" s="16"/>
    </row>
    <row r="974">
      <c r="E974" s="13"/>
      <c r="H974" s="16"/>
      <c r="I974" s="16"/>
    </row>
    <row r="975">
      <c r="E975" s="13"/>
      <c r="H975" s="16"/>
      <c r="I975" s="16"/>
    </row>
    <row r="976">
      <c r="E976" s="13"/>
      <c r="H976" s="16"/>
      <c r="I976" s="16"/>
    </row>
    <row r="977">
      <c r="E977" s="13"/>
      <c r="H977" s="16"/>
      <c r="I977" s="16"/>
    </row>
    <row r="978">
      <c r="E978" s="13"/>
      <c r="H978" s="16"/>
      <c r="I978" s="16"/>
    </row>
    <row r="979">
      <c r="E979" s="13"/>
      <c r="H979" s="16"/>
      <c r="I979" s="16"/>
    </row>
    <row r="980">
      <c r="E980" s="13"/>
      <c r="H980" s="16"/>
      <c r="I980" s="16"/>
    </row>
    <row r="981">
      <c r="E981" s="13"/>
      <c r="H981" s="16"/>
      <c r="I981" s="16"/>
    </row>
    <row r="982">
      <c r="E982" s="13"/>
      <c r="H982" s="16"/>
      <c r="I982" s="16"/>
    </row>
    <row r="983">
      <c r="E983" s="13"/>
      <c r="H983" s="16"/>
      <c r="I983" s="16"/>
    </row>
    <row r="984">
      <c r="E984" s="13"/>
      <c r="H984" s="16"/>
      <c r="I984" s="16"/>
    </row>
    <row r="985">
      <c r="E985" s="13"/>
      <c r="H985" s="16"/>
      <c r="I985" s="16"/>
    </row>
    <row r="986">
      <c r="E986" s="13"/>
      <c r="H986" s="16"/>
      <c r="I986" s="16"/>
    </row>
    <row r="987">
      <c r="E987" s="13"/>
      <c r="H987" s="16"/>
      <c r="I987" s="16"/>
    </row>
    <row r="988">
      <c r="E988" s="13"/>
      <c r="H988" s="16"/>
      <c r="I988" s="16"/>
    </row>
    <row r="989">
      <c r="E989" s="13"/>
      <c r="H989" s="16"/>
      <c r="I989" s="16"/>
    </row>
    <row r="990">
      <c r="E990" s="13"/>
      <c r="H990" s="16"/>
      <c r="I990" s="16"/>
    </row>
    <row r="991">
      <c r="E991" s="13"/>
      <c r="H991" s="16"/>
      <c r="I991" s="16"/>
    </row>
    <row r="992">
      <c r="E992" s="13"/>
      <c r="H992" s="16"/>
      <c r="I992" s="16"/>
    </row>
    <row r="993">
      <c r="E993" s="13"/>
      <c r="H993" s="16"/>
      <c r="I993" s="16"/>
    </row>
    <row r="994">
      <c r="E994" s="13"/>
      <c r="H994" s="16"/>
      <c r="I994" s="16"/>
    </row>
    <row r="995">
      <c r="E995" s="13"/>
      <c r="H995" s="16"/>
      <c r="I995" s="16"/>
    </row>
    <row r="996">
      <c r="E996" s="13"/>
      <c r="H996" s="16"/>
      <c r="I996" s="16"/>
    </row>
    <row r="997">
      <c r="E997" s="13"/>
      <c r="H997" s="16"/>
      <c r="I997" s="16"/>
    </row>
    <row r="998">
      <c r="E998" s="13"/>
      <c r="H998" s="16"/>
      <c r="I998" s="16"/>
    </row>
    <row r="999">
      <c r="E999" s="13"/>
      <c r="H999" s="16"/>
      <c r="I999" s="16"/>
    </row>
    <row r="1000">
      <c r="E1000" s="13"/>
      <c r="H1000" s="16"/>
      <c r="I1000" s="16"/>
    </row>
    <row r="1001">
      <c r="E1001" s="13"/>
      <c r="H1001" s="16"/>
      <c r="I1001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16" max="16" width="30.75"/>
    <col customWidth="1" min="21" max="21" width="17.25"/>
    <col customWidth="1" min="22" max="22" width="26.88"/>
    <col customWidth="1" min="23" max="23" width="25.88"/>
  </cols>
  <sheetData>
    <row r="1">
      <c r="A1" s="26"/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N1" s="1" t="s">
        <v>199</v>
      </c>
      <c r="P1" s="27" t="s">
        <v>0</v>
      </c>
      <c r="Q1" s="1" t="s">
        <v>199</v>
      </c>
      <c r="U1" s="28" t="s">
        <v>200</v>
      </c>
      <c r="V1" s="28" t="s">
        <v>201</v>
      </c>
      <c r="W1" s="28" t="s">
        <v>202</v>
      </c>
    </row>
    <row r="2">
      <c r="A2" s="26" t="s">
        <v>133</v>
      </c>
      <c r="B2" s="13">
        <f>VLOOKUP($A2,'k=2'!$A$2:$E$154,5,0)</f>
        <v>0.04571052632</v>
      </c>
      <c r="C2" s="13">
        <f>VLOOKUP($A2,'k=3'!$A$2:$E$154,5,0)</f>
        <v>0.0825</v>
      </c>
      <c r="D2" s="13">
        <f>VLOOKUP($A2,'k=4'!$A$2:$E$154,5,0)</f>
        <v>0.06821052632</v>
      </c>
      <c r="E2" s="13">
        <f>VLOOKUP($A2,'k=5'!$A$2:$E$154,5,0)</f>
        <v>0.07181578947</v>
      </c>
      <c r="F2" s="13">
        <f>VLOOKUP($A2,'k=6'!$A$2:$E$154,5,0)</f>
        <v>0.1225789474</v>
      </c>
      <c r="H2" s="9">
        <f>VLOOKUP($A2,'k=2'!$A$2:$E$154,4,0)</f>
        <v>296</v>
      </c>
      <c r="I2" s="9">
        <f>VLOOKUP($A2,'k=3'!$A$2:$E$154,4,0)</f>
        <v>130</v>
      </c>
      <c r="J2" s="9">
        <f>VLOOKUP($A2,'k=4'!$A$2:$E$154,4,0)</f>
        <v>63</v>
      </c>
      <c r="K2" s="9">
        <f>VLOOKUP($A2,'k=5'!$A$2:$E$154,4,0)</f>
        <v>30</v>
      </c>
      <c r="L2" s="9">
        <f>VLOOKUP($A2,'k=6'!$A$2:$E$154,4,0)</f>
        <v>14</v>
      </c>
      <c r="N2" s="13">
        <f t="shared" ref="N2:N154" si="1">SUMPRODUCT(B2:F2,H2:L2)/sum(H2:L2)</f>
        <v>0.0608314407</v>
      </c>
      <c r="P2" s="26" t="s">
        <v>14</v>
      </c>
      <c r="Q2" s="13">
        <v>0.004338610115491827</v>
      </c>
      <c r="U2" s="28">
        <v>2.0</v>
      </c>
      <c r="V2" s="28">
        <v>105.0</v>
      </c>
      <c r="W2" s="29">
        <f t="shared" ref="W2:W6" si="2">V2/153</f>
        <v>0.6862745098</v>
      </c>
    </row>
    <row r="3">
      <c r="A3" s="26" t="s">
        <v>171</v>
      </c>
      <c r="B3" s="13">
        <f>VLOOKUP($A3,'k=2'!$A$2:$E$154,5,0)</f>
        <v>0.06970526316</v>
      </c>
      <c r="C3" s="13">
        <f>VLOOKUP($A3,'k=3'!$A$2:$E$154,5,0)</f>
        <v>0.09578947368</v>
      </c>
      <c r="D3" s="13">
        <f>VLOOKUP($A3,'k=4'!$A$2:$E$154,5,0)</f>
        <v>0.2134736842</v>
      </c>
      <c r="E3" s="13">
        <f>VLOOKUP($A3,'k=5'!$A$2:$E$154,5,0)</f>
        <v>0.1672842105</v>
      </c>
      <c r="F3" s="13">
        <f>VLOOKUP($A3,'k=6'!$A$2:$E$154,5,0)</f>
        <v>0.06362105263</v>
      </c>
      <c r="H3" s="9">
        <f>VLOOKUP($A3,'k=2'!$A$2:$E$154,4,0)</f>
        <v>125</v>
      </c>
      <c r="I3" s="9">
        <f>VLOOKUP($A3,'k=3'!$A$2:$E$154,4,0)</f>
        <v>46</v>
      </c>
      <c r="J3" s="9">
        <f>VLOOKUP($A3,'k=4'!$A$2:$E$154,4,0)</f>
        <v>14</v>
      </c>
      <c r="K3" s="9">
        <f>VLOOKUP($A3,'k=5'!$A$2:$E$154,4,0)</f>
        <v>6</v>
      </c>
      <c r="L3" s="9">
        <f>VLOOKUP($A3,'k=6'!$A$2:$E$154,4,0)</f>
        <v>4</v>
      </c>
      <c r="N3" s="13">
        <f t="shared" si="1"/>
        <v>0.08905792173</v>
      </c>
      <c r="P3" s="26" t="s">
        <v>50</v>
      </c>
      <c r="Q3" s="13">
        <v>0.008154462582149666</v>
      </c>
      <c r="U3" s="28">
        <v>3.0</v>
      </c>
      <c r="V3" s="28">
        <v>59.0</v>
      </c>
      <c r="W3" s="29">
        <f t="shared" si="2"/>
        <v>0.385620915</v>
      </c>
    </row>
    <row r="4">
      <c r="A4" s="26" t="s">
        <v>30</v>
      </c>
      <c r="B4" s="13">
        <f>VLOOKUP($A4,'k=2'!$A$2:$E$154,5,0)</f>
        <v>0.0076</v>
      </c>
      <c r="C4" s="13">
        <f>VLOOKUP($A4,'k=3'!$A$2:$E$154,5,0)</f>
        <v>0.01472</v>
      </c>
      <c r="D4" s="13">
        <f>VLOOKUP($A4,'k=4'!$A$2:$E$154,5,0)</f>
        <v>0.02756</v>
      </c>
      <c r="E4" s="13">
        <f>VLOOKUP($A4,'k=5'!$A$2:$E$154,5,0)</f>
        <v>0.08812</v>
      </c>
      <c r="F4" s="13">
        <f>VLOOKUP($A4,'k=6'!$A$2:$E$154,5,0)</f>
        <v>0.43962</v>
      </c>
      <c r="H4" s="9">
        <f>VLOOKUP($A4,'k=2'!$A$2:$E$154,4,0)</f>
        <v>331</v>
      </c>
      <c r="I4" s="9">
        <f>VLOOKUP($A4,'k=3'!$A$2:$E$154,4,0)</f>
        <v>152</v>
      </c>
      <c r="J4" s="9">
        <f>VLOOKUP($A4,'k=4'!$A$2:$E$154,4,0)</f>
        <v>71</v>
      </c>
      <c r="K4" s="9">
        <f>VLOOKUP($A4,'k=5'!$A$2:$E$154,4,0)</f>
        <v>30</v>
      </c>
      <c r="L4" s="9">
        <f>VLOOKUP($A4,'k=6'!$A$2:$E$154,4,0)</f>
        <v>8</v>
      </c>
      <c r="N4" s="13">
        <f t="shared" si="1"/>
        <v>0.02174047297</v>
      </c>
      <c r="P4" s="26" t="s">
        <v>16</v>
      </c>
      <c r="Q4" s="13">
        <v>0.008609629054073484</v>
      </c>
      <c r="U4" s="28">
        <v>4.0</v>
      </c>
      <c r="V4" s="28">
        <v>32.0</v>
      </c>
      <c r="W4" s="29">
        <f t="shared" si="2"/>
        <v>0.2091503268</v>
      </c>
    </row>
    <row r="5">
      <c r="A5" s="26" t="s">
        <v>69</v>
      </c>
      <c r="B5" s="13">
        <f>VLOOKUP($A5,'k=2'!$A$2:$E$154,5,0)</f>
        <v>0.01877419355</v>
      </c>
      <c r="C5" s="13">
        <f>VLOOKUP($A5,'k=3'!$A$2:$E$154,5,0)</f>
        <v>0.0304516129</v>
      </c>
      <c r="D5" s="13">
        <f>VLOOKUP($A5,'k=4'!$A$2:$E$154,5,0)</f>
        <v>0.1025376344</v>
      </c>
      <c r="E5" s="13">
        <f>VLOOKUP($A5,'k=5'!$A$2:$E$154,5,0)</f>
        <v>0.3851182796</v>
      </c>
      <c r="F5" s="13">
        <f>VLOOKUP($A5,'k=6'!$A$2:$E$154,5,0)</f>
        <v>0.6162580645</v>
      </c>
      <c r="H5" s="9">
        <f>VLOOKUP($A5,'k=2'!$A$2:$E$154,4,0)</f>
        <v>211</v>
      </c>
      <c r="I5" s="9">
        <f>VLOOKUP($A5,'k=3'!$A$2:$E$154,4,0)</f>
        <v>91</v>
      </c>
      <c r="J5" s="9">
        <f>VLOOKUP($A5,'k=4'!$A$2:$E$154,4,0)</f>
        <v>35</v>
      </c>
      <c r="K5" s="9">
        <f>VLOOKUP($A5,'k=5'!$A$2:$E$154,4,0)</f>
        <v>9</v>
      </c>
      <c r="L5" s="9">
        <f>VLOOKUP($A5,'k=6'!$A$2:$E$154,4,0)</f>
        <v>2</v>
      </c>
      <c r="N5" s="13">
        <f t="shared" si="1"/>
        <v>0.04316048696</v>
      </c>
      <c r="P5" s="26" t="s">
        <v>22</v>
      </c>
      <c r="Q5" s="13">
        <v>0.009957426679280979</v>
      </c>
      <c r="U5" s="28">
        <v>5.0</v>
      </c>
      <c r="V5" s="28">
        <v>22.0</v>
      </c>
      <c r="W5" s="29">
        <f t="shared" si="2"/>
        <v>0.1437908497</v>
      </c>
    </row>
    <row r="6">
      <c r="A6" s="26" t="s">
        <v>186</v>
      </c>
      <c r="B6" s="13">
        <f>VLOOKUP($A6,'k=2'!$A$2:$E$154,5,0)</f>
        <v>0.09848780488</v>
      </c>
      <c r="C6" s="13">
        <f>VLOOKUP($A6,'k=3'!$A$2:$E$154,5,0)</f>
        <v>0.1881138211</v>
      </c>
      <c r="D6" s="13">
        <f>VLOOKUP($A6,'k=4'!$A$2:$E$154,5,0)</f>
        <v>0.2369105691</v>
      </c>
      <c r="E6" s="13">
        <f>VLOOKUP($A6,'k=5'!$A$2:$E$154,5,0)</f>
        <v>0.2480487805</v>
      </c>
      <c r="F6" s="13">
        <f>VLOOKUP($A6,'k=6'!$A$2:$E$154,5,0)</f>
        <v>0.5399674797</v>
      </c>
      <c r="H6" s="9">
        <f>VLOOKUP($A6,'k=2'!$A$2:$E$154,4,0)</f>
        <v>149</v>
      </c>
      <c r="I6" s="9">
        <f>VLOOKUP($A6,'k=3'!$A$2:$E$154,4,0)</f>
        <v>49</v>
      </c>
      <c r="J6" s="9">
        <f>VLOOKUP($A6,'k=4'!$A$2:$E$154,4,0)</f>
        <v>17</v>
      </c>
      <c r="K6" s="9">
        <f>VLOOKUP($A6,'k=5'!$A$2:$E$154,4,0)</f>
        <v>6</v>
      </c>
      <c r="L6" s="9">
        <f>VLOOKUP($A6,'k=6'!$A$2:$E$154,4,0)</f>
        <v>1</v>
      </c>
      <c r="N6" s="13">
        <f t="shared" si="1"/>
        <v>0.1349009009</v>
      </c>
      <c r="P6" s="26" t="s">
        <v>18</v>
      </c>
      <c r="Q6" s="13">
        <v>0.0105181136918809</v>
      </c>
      <c r="U6" s="28">
        <v>6.0</v>
      </c>
      <c r="V6" s="28">
        <v>15.0</v>
      </c>
      <c r="W6" s="29">
        <f t="shared" si="2"/>
        <v>0.09803921569</v>
      </c>
    </row>
    <row r="7">
      <c r="A7" s="26" t="s">
        <v>174</v>
      </c>
      <c r="B7" s="13">
        <f>VLOOKUP($A7,'k=2'!$A$2:$E$154,5,0)</f>
        <v>0.0738021978</v>
      </c>
      <c r="C7" s="13">
        <f>VLOOKUP($A7,'k=3'!$A$2:$E$154,5,0)</f>
        <v>0.124</v>
      </c>
      <c r="D7" s="13">
        <f>VLOOKUP($A7,'k=4'!$A$2:$E$154,5,0)</f>
        <v>0.2251648352</v>
      </c>
      <c r="E7" s="13">
        <f>VLOOKUP($A7,'k=5'!$A$2:$E$154,5,0)</f>
        <v>0.384967033</v>
      </c>
      <c r="F7" s="13">
        <f>VLOOKUP($A7,'k=6'!$A$2:$E$154,5,0)</f>
        <v>1</v>
      </c>
      <c r="H7" s="9">
        <f>VLOOKUP($A7,'k=2'!$A$2:$E$154,4,0)</f>
        <v>183</v>
      </c>
      <c r="I7" s="9">
        <f>VLOOKUP($A7,'k=3'!$A$2:$E$154,4,0)</f>
        <v>66</v>
      </c>
      <c r="J7" s="9">
        <f>VLOOKUP($A7,'k=4'!$A$2:$E$154,4,0)</f>
        <v>22</v>
      </c>
      <c r="K7" s="9">
        <f>VLOOKUP($A7,'k=5'!$A$2:$E$154,4,0)</f>
        <v>6</v>
      </c>
      <c r="L7" s="9">
        <f>VLOOKUP($A7,'k=6'!$A$2:$E$154,4,0)</f>
        <v>0</v>
      </c>
      <c r="N7" s="13">
        <f t="shared" si="1"/>
        <v>0.1045242988</v>
      </c>
      <c r="P7" s="26" t="s">
        <v>26</v>
      </c>
      <c r="Q7" s="13">
        <v>0.01075247930497497</v>
      </c>
    </row>
    <row r="8">
      <c r="A8" s="26" t="s">
        <v>159</v>
      </c>
      <c r="B8" s="13">
        <f>VLOOKUP($A8,'k=2'!$A$2:$E$154,5,0)</f>
        <v>0.059</v>
      </c>
      <c r="C8" s="13">
        <f>VLOOKUP($A8,'k=3'!$A$2:$E$154,5,0)</f>
        <v>0.05027692308</v>
      </c>
      <c r="D8" s="13">
        <f>VLOOKUP($A8,'k=4'!$A$2:$E$154,5,0)</f>
        <v>0.111</v>
      </c>
      <c r="E8" s="13">
        <f>VLOOKUP($A8,'k=5'!$A$2:$E$154,5,0)</f>
        <v>0.1632461538</v>
      </c>
      <c r="F8" s="13">
        <f>VLOOKUP($A8,'k=6'!$A$2:$E$154,5,0)</f>
        <v>0.5143692308</v>
      </c>
      <c r="H8" s="9">
        <f>VLOOKUP($A8,'k=2'!$A$2:$E$154,4,0)</f>
        <v>148</v>
      </c>
      <c r="I8" s="9">
        <f>VLOOKUP($A8,'k=3'!$A$2:$E$154,4,0)</f>
        <v>60</v>
      </c>
      <c r="J8" s="9">
        <f>VLOOKUP($A8,'k=4'!$A$2:$E$154,4,0)</f>
        <v>21</v>
      </c>
      <c r="K8" s="9">
        <f>VLOOKUP($A8,'k=5'!$A$2:$E$154,4,0)</f>
        <v>8</v>
      </c>
      <c r="L8" s="9">
        <f>VLOOKUP($A8,'k=6'!$A$2:$E$154,4,0)</f>
        <v>1</v>
      </c>
      <c r="N8" s="13">
        <f t="shared" si="1"/>
        <v>0.06680652877</v>
      </c>
      <c r="P8" s="26" t="s">
        <v>24</v>
      </c>
      <c r="Q8" s="13">
        <v>0.012351969280631286</v>
      </c>
    </row>
    <row r="9">
      <c r="A9" s="26" t="s">
        <v>126</v>
      </c>
      <c r="B9" s="13">
        <f>VLOOKUP($A9,'k=2'!$A$2:$E$154,5,0)</f>
        <v>0.04312149533</v>
      </c>
      <c r="C9" s="13">
        <f>VLOOKUP($A9,'k=3'!$A$2:$E$154,5,0)</f>
        <v>0.04700934579</v>
      </c>
      <c r="D9" s="13">
        <f>VLOOKUP($A9,'k=4'!$A$2:$E$154,5,0)</f>
        <v>0.08512149533</v>
      </c>
      <c r="E9" s="13">
        <f>VLOOKUP($A9,'k=5'!$A$2:$E$154,5,0)</f>
        <v>0.2484859813</v>
      </c>
      <c r="F9" s="13">
        <f>VLOOKUP($A9,'k=6'!$A$2:$E$154,5,0)</f>
        <v>0.322728972</v>
      </c>
      <c r="H9" s="9">
        <f>VLOOKUP($A9,'k=2'!$A$2:$E$154,4,0)</f>
        <v>283</v>
      </c>
      <c r="I9" s="9">
        <f>VLOOKUP($A9,'k=3'!$A$2:$E$154,4,0)</f>
        <v>125</v>
      </c>
      <c r="J9" s="9">
        <f>VLOOKUP($A9,'k=4'!$A$2:$E$154,4,0)</f>
        <v>53</v>
      </c>
      <c r="K9" s="9">
        <f>VLOOKUP($A9,'k=5'!$A$2:$E$154,4,0)</f>
        <v>18</v>
      </c>
      <c r="L9" s="9">
        <f>VLOOKUP($A9,'k=6'!$A$2:$E$154,4,0)</f>
        <v>7</v>
      </c>
      <c r="N9" s="13">
        <f t="shared" si="1"/>
        <v>0.06033506404</v>
      </c>
      <c r="P9" s="26" t="s">
        <v>20</v>
      </c>
      <c r="Q9" s="13">
        <v>0.014690151304186376</v>
      </c>
    </row>
    <row r="10">
      <c r="A10" s="26" t="s">
        <v>112</v>
      </c>
      <c r="B10" s="13">
        <f>VLOOKUP($A10,'k=2'!$A$2:$E$154,5,0)</f>
        <v>0.03711290323</v>
      </c>
      <c r="C10" s="13">
        <f>VLOOKUP($A10,'k=3'!$A$2:$E$154,5,0)</f>
        <v>0.04364516129</v>
      </c>
      <c r="D10" s="13">
        <f>VLOOKUP($A10,'k=4'!$A$2:$E$154,5,0)</f>
        <v>0.01058064516</v>
      </c>
      <c r="E10" s="13">
        <f>VLOOKUP($A10,'k=5'!$A$2:$E$154,5,0)</f>
        <v>0.009193548387</v>
      </c>
      <c r="F10" s="13">
        <f>VLOOKUP($A10,'k=6'!$A$2:$E$154,5,0)</f>
        <v>0.01408064516</v>
      </c>
      <c r="H10" s="9">
        <f>VLOOKUP($A10,'k=2'!$A$2:$E$154,4,0)</f>
        <v>119</v>
      </c>
      <c r="I10" s="9">
        <f>VLOOKUP($A10,'k=3'!$A$2:$E$154,4,0)</f>
        <v>43</v>
      </c>
      <c r="J10" s="9">
        <f>VLOOKUP($A10,'k=4'!$A$2:$E$154,4,0)</f>
        <v>20</v>
      </c>
      <c r="K10" s="9">
        <f>VLOOKUP($A10,'k=5'!$A$2:$E$154,4,0)</f>
        <v>10</v>
      </c>
      <c r="L10" s="9">
        <f>VLOOKUP($A10,'k=6'!$A$2:$E$154,4,0)</f>
        <v>5</v>
      </c>
      <c r="N10" s="13">
        <f t="shared" si="1"/>
        <v>0.03384329458</v>
      </c>
      <c r="P10" s="26" t="s">
        <v>38</v>
      </c>
      <c r="Q10" s="13">
        <v>0.014958361950549422</v>
      </c>
    </row>
    <row r="11">
      <c r="A11" s="26" t="s">
        <v>185</v>
      </c>
      <c r="B11" s="13">
        <f>VLOOKUP($A11,'k=2'!$A$2:$E$154,5,0)</f>
        <v>0.09733333333</v>
      </c>
      <c r="C11" s="13">
        <f>VLOOKUP($A11,'k=3'!$A$2:$E$154,5,0)</f>
        <v>0.2382941176</v>
      </c>
      <c r="D11" s="13">
        <f>VLOOKUP($A11,'k=4'!$A$2:$E$154,5,0)</f>
        <v>0.398627451</v>
      </c>
      <c r="E11" s="13">
        <f>VLOOKUP($A11,'k=5'!$A$2:$E$154,5,0)</f>
        <v>0.5911568627</v>
      </c>
      <c r="F11" s="13">
        <f>VLOOKUP($A11,'k=6'!$A$2:$E$154,5,0)</f>
        <v>0.5835882353</v>
      </c>
      <c r="H11" s="9">
        <f>VLOOKUP($A11,'k=2'!$A$2:$E$154,4,0)</f>
        <v>299</v>
      </c>
      <c r="I11" s="9">
        <f>VLOOKUP($A11,'k=3'!$A$2:$E$154,4,0)</f>
        <v>115</v>
      </c>
      <c r="J11" s="9">
        <f>VLOOKUP($A11,'k=4'!$A$2:$E$154,4,0)</f>
        <v>41</v>
      </c>
      <c r="K11" s="9">
        <f>VLOOKUP($A11,'k=5'!$A$2:$E$154,4,0)</f>
        <v>12</v>
      </c>
      <c r="L11" s="9">
        <f>VLOOKUP($A11,'k=6'!$A$2:$E$154,4,0)</f>
        <v>5</v>
      </c>
      <c r="N11" s="13">
        <f t="shared" si="1"/>
        <v>0.1755551678</v>
      </c>
      <c r="P11" s="26" t="s">
        <v>42</v>
      </c>
      <c r="Q11" s="13">
        <v>0.01534138326932969</v>
      </c>
    </row>
    <row r="12">
      <c r="A12" s="26" t="s">
        <v>170</v>
      </c>
      <c r="B12" s="13">
        <f>VLOOKUP($A12,'k=2'!$A$2:$E$154,5,0)</f>
        <v>0.06948979592</v>
      </c>
      <c r="C12" s="13">
        <f>VLOOKUP($A12,'k=3'!$A$2:$E$154,5,0)</f>
        <v>0.1228571429</v>
      </c>
      <c r="D12" s="13">
        <f>VLOOKUP($A12,'k=4'!$A$2:$E$154,5,0)</f>
        <v>0.2302040816</v>
      </c>
      <c r="E12" s="13">
        <f>VLOOKUP($A12,'k=5'!$A$2:$E$154,5,0)</f>
        <v>0.6504897959</v>
      </c>
      <c r="F12" s="13">
        <f>VLOOKUP($A12,'k=6'!$A$2:$E$154,5,0)</f>
        <v>0.612244898</v>
      </c>
      <c r="H12" s="9">
        <f>VLOOKUP($A12,'k=2'!$A$2:$E$154,4,0)</f>
        <v>208</v>
      </c>
      <c r="I12" s="9">
        <f>VLOOKUP($A12,'k=3'!$A$2:$E$154,4,0)</f>
        <v>82</v>
      </c>
      <c r="J12" s="9">
        <f>VLOOKUP($A12,'k=4'!$A$2:$E$154,4,0)</f>
        <v>29</v>
      </c>
      <c r="K12" s="9">
        <f>VLOOKUP($A12,'k=5'!$A$2:$E$154,4,0)</f>
        <v>5</v>
      </c>
      <c r="L12" s="9">
        <f>VLOOKUP($A12,'k=6'!$A$2:$E$154,4,0)</f>
        <v>2</v>
      </c>
      <c r="N12" s="13">
        <f t="shared" si="1"/>
        <v>0.1094509828</v>
      </c>
      <c r="P12" s="26" t="s">
        <v>52</v>
      </c>
      <c r="Q12" s="13">
        <v>0.01676683836473883</v>
      </c>
    </row>
    <row r="13">
      <c r="A13" s="26" t="s">
        <v>173</v>
      </c>
      <c r="B13" s="13">
        <f>VLOOKUP($A13,'k=2'!$A$2:$E$154,5,0)</f>
        <v>0.07164485981</v>
      </c>
      <c r="C13" s="13">
        <f>VLOOKUP($A13,'k=3'!$A$2:$E$154,5,0)</f>
        <v>0.1251401869</v>
      </c>
      <c r="D13" s="13">
        <f>VLOOKUP($A13,'k=4'!$A$2:$E$154,5,0)</f>
        <v>0.2210654206</v>
      </c>
      <c r="E13" s="13">
        <f>VLOOKUP($A13,'k=5'!$A$2:$E$154,5,0)</f>
        <v>0.2941495327</v>
      </c>
      <c r="F13" s="13">
        <f>VLOOKUP($A13,'k=6'!$A$2:$E$154,5,0)</f>
        <v>0.3686728972</v>
      </c>
      <c r="H13" s="9">
        <f>VLOOKUP($A13,'k=2'!$A$2:$E$154,4,0)</f>
        <v>319</v>
      </c>
      <c r="I13" s="9">
        <f>VLOOKUP($A13,'k=3'!$A$2:$E$154,4,0)</f>
        <v>139</v>
      </c>
      <c r="J13" s="9">
        <f>VLOOKUP($A13,'k=4'!$A$2:$E$154,4,0)</f>
        <v>56</v>
      </c>
      <c r="K13" s="9">
        <f>VLOOKUP($A13,'k=5'!$A$2:$E$154,4,0)</f>
        <v>24</v>
      </c>
      <c r="L13" s="9">
        <f>VLOOKUP($A13,'k=6'!$A$2:$E$154,4,0)</f>
        <v>10</v>
      </c>
      <c r="N13" s="13">
        <f t="shared" si="1"/>
        <v>0.1156481343</v>
      </c>
      <c r="P13" s="26" t="s">
        <v>65</v>
      </c>
      <c r="Q13" s="13">
        <v>0.0176856640601321</v>
      </c>
    </row>
    <row r="14">
      <c r="A14" s="26" t="s">
        <v>107</v>
      </c>
      <c r="B14" s="13">
        <f>VLOOKUP($A14,'k=2'!$A$2:$E$154,5,0)</f>
        <v>0.03585185185</v>
      </c>
      <c r="C14" s="13">
        <f>VLOOKUP($A14,'k=3'!$A$2:$E$154,5,0)</f>
        <v>0.03105555556</v>
      </c>
      <c r="D14" s="13">
        <f>VLOOKUP($A14,'k=4'!$A$2:$E$154,5,0)</f>
        <v>0.01901851852</v>
      </c>
      <c r="E14" s="13">
        <f>VLOOKUP($A14,'k=5'!$A$2:$E$154,5,0)</f>
        <v>0.03590740741</v>
      </c>
      <c r="F14" s="13">
        <f>VLOOKUP($A14,'k=6'!$A$2:$E$154,5,0)</f>
        <v>0.0677962963</v>
      </c>
      <c r="H14" s="9">
        <f>VLOOKUP($A14,'k=2'!$A$2:$E$154,4,0)</f>
        <v>302</v>
      </c>
      <c r="I14" s="9">
        <f>VLOOKUP($A14,'k=3'!$A$2:$E$154,4,0)</f>
        <v>147</v>
      </c>
      <c r="J14" s="9">
        <f>VLOOKUP($A14,'k=4'!$A$2:$E$154,4,0)</f>
        <v>76</v>
      </c>
      <c r="K14" s="9">
        <f>VLOOKUP($A14,'k=5'!$A$2:$E$154,4,0)</f>
        <v>37</v>
      </c>
      <c r="L14" s="9">
        <f>VLOOKUP($A14,'k=6'!$A$2:$E$154,4,0)</f>
        <v>18</v>
      </c>
      <c r="N14" s="13">
        <f t="shared" si="1"/>
        <v>0.03342541507</v>
      </c>
      <c r="P14" s="26" t="s">
        <v>76</v>
      </c>
      <c r="Q14" s="13">
        <v>0.018545184068549627</v>
      </c>
    </row>
    <row r="15">
      <c r="A15" s="26" t="s">
        <v>139</v>
      </c>
      <c r="B15" s="13">
        <f>VLOOKUP($A15,'k=2'!$A$2:$E$154,5,0)</f>
        <v>0.04830612245</v>
      </c>
      <c r="C15" s="13">
        <f>VLOOKUP($A15,'k=3'!$A$2:$E$154,5,0)</f>
        <v>0.134877551</v>
      </c>
      <c r="D15" s="13">
        <f>VLOOKUP($A15,'k=4'!$A$2:$E$154,5,0)</f>
        <v>0.2439183673</v>
      </c>
      <c r="E15" s="13">
        <f>VLOOKUP($A15,'k=5'!$A$2:$E$154,5,0)</f>
        <v>0.3635510204</v>
      </c>
      <c r="F15" s="13">
        <f>VLOOKUP($A15,'k=6'!$A$2:$E$154,5,0)</f>
        <v>0.4395510204</v>
      </c>
      <c r="H15" s="9">
        <f>VLOOKUP($A15,'k=2'!$A$2:$E$154,4,0)</f>
        <v>278</v>
      </c>
      <c r="I15" s="9">
        <f>VLOOKUP($A15,'k=3'!$A$2:$E$154,4,0)</f>
        <v>117</v>
      </c>
      <c r="J15" s="9">
        <f>VLOOKUP($A15,'k=4'!$A$2:$E$154,4,0)</f>
        <v>47</v>
      </c>
      <c r="K15" s="9">
        <f>VLOOKUP($A15,'k=5'!$A$2:$E$154,4,0)</f>
        <v>18</v>
      </c>
      <c r="L15" s="9">
        <f>VLOOKUP($A15,'k=6'!$A$2:$E$154,4,0)</f>
        <v>7</v>
      </c>
      <c r="N15" s="13">
        <f t="shared" si="1"/>
        <v>0.107697461</v>
      </c>
      <c r="P15" s="26" t="s">
        <v>32</v>
      </c>
      <c r="Q15" s="13">
        <v>0.019388283208020027</v>
      </c>
    </row>
    <row r="16">
      <c r="A16" s="26" t="s">
        <v>64</v>
      </c>
      <c r="B16" s="13">
        <f>VLOOKUP($A16,'k=2'!$A$2:$E$154,5,0)</f>
        <v>0.01685393258</v>
      </c>
      <c r="C16" s="13">
        <f>VLOOKUP($A16,'k=3'!$A$2:$E$154,5,0)</f>
        <v>0.0357752809</v>
      </c>
      <c r="D16" s="13">
        <f>VLOOKUP($A16,'k=4'!$A$2:$E$154,5,0)</f>
        <v>0.09384269663</v>
      </c>
      <c r="E16" s="13">
        <f>VLOOKUP($A16,'k=5'!$A$2:$E$154,5,0)</f>
        <v>0.1576629213</v>
      </c>
      <c r="F16" s="13">
        <f>VLOOKUP($A16,'k=6'!$A$2:$E$154,5,0)</f>
        <v>0.3126516854</v>
      </c>
      <c r="H16" s="9">
        <f>VLOOKUP($A16,'k=2'!$A$2:$E$154,4,0)</f>
        <v>347</v>
      </c>
      <c r="I16" s="9">
        <f>VLOOKUP($A16,'k=3'!$A$2:$E$154,4,0)</f>
        <v>172</v>
      </c>
      <c r="J16" s="9">
        <f>VLOOKUP($A16,'k=4'!$A$2:$E$154,4,0)</f>
        <v>78</v>
      </c>
      <c r="K16" s="9">
        <f>VLOOKUP($A16,'k=5'!$A$2:$E$154,4,0)</f>
        <v>35</v>
      </c>
      <c r="L16" s="9">
        <f>VLOOKUP($A16,'k=6'!$A$2:$E$154,4,0)</f>
        <v>13</v>
      </c>
      <c r="N16" s="13">
        <f t="shared" si="1"/>
        <v>0.04481250762</v>
      </c>
      <c r="P16" s="26" t="s">
        <v>54</v>
      </c>
      <c r="Q16" s="13">
        <v>0.01985949314282728</v>
      </c>
    </row>
    <row r="17">
      <c r="A17" s="26" t="s">
        <v>100</v>
      </c>
      <c r="B17" s="13">
        <f>VLOOKUP($A17,'k=2'!$A$2:$E$154,5,0)</f>
        <v>0.03219298246</v>
      </c>
      <c r="C17" s="13">
        <f>VLOOKUP($A17,'k=3'!$A$2:$E$154,5,0)</f>
        <v>0.07571929825</v>
      </c>
      <c r="D17" s="13">
        <f>VLOOKUP($A17,'k=4'!$A$2:$E$154,5,0)</f>
        <v>0.1976666667</v>
      </c>
      <c r="E17" s="13">
        <f>VLOOKUP($A17,'k=5'!$A$2:$E$154,5,0)</f>
        <v>0.2848596491</v>
      </c>
      <c r="F17" s="13">
        <f>VLOOKUP($A17,'k=6'!$A$2:$E$154,5,0)</f>
        <v>0.1713157895</v>
      </c>
      <c r="H17" s="9">
        <f>VLOOKUP($A17,'k=2'!$A$2:$E$154,4,0)</f>
        <v>274</v>
      </c>
      <c r="I17" s="9">
        <f>VLOOKUP($A17,'k=3'!$A$2:$E$154,4,0)</f>
        <v>104</v>
      </c>
      <c r="J17" s="9">
        <f>VLOOKUP($A17,'k=4'!$A$2:$E$154,4,0)</f>
        <v>36</v>
      </c>
      <c r="K17" s="9">
        <f>VLOOKUP($A17,'k=5'!$A$2:$E$154,4,0)</f>
        <v>13</v>
      </c>
      <c r="L17" s="9">
        <f>VLOOKUP($A17,'k=6'!$A$2:$E$154,4,0)</f>
        <v>7</v>
      </c>
      <c r="N17" s="13">
        <f t="shared" si="1"/>
        <v>0.06616145202</v>
      </c>
      <c r="P17" s="26" t="s">
        <v>30</v>
      </c>
      <c r="Q17" s="13">
        <v>0.021740472972972977</v>
      </c>
    </row>
    <row r="18">
      <c r="A18" s="26" t="s">
        <v>124</v>
      </c>
      <c r="B18" s="13">
        <f>VLOOKUP($A18,'k=2'!$A$2:$E$154,5,0)</f>
        <v>0.04299099099</v>
      </c>
      <c r="C18" s="13">
        <f>VLOOKUP($A18,'k=3'!$A$2:$E$154,5,0)</f>
        <v>0.01643243243</v>
      </c>
      <c r="D18" s="13">
        <f>VLOOKUP($A18,'k=4'!$A$2:$E$154,5,0)</f>
        <v>0.06108108108</v>
      </c>
      <c r="E18" s="13">
        <f>VLOOKUP($A18,'k=5'!$A$2:$E$154,5,0)</f>
        <v>0.1363963964</v>
      </c>
      <c r="F18" s="13">
        <f>VLOOKUP($A18,'k=6'!$A$2:$E$154,5,0)</f>
        <v>0.229981982</v>
      </c>
      <c r="H18" s="9">
        <f>VLOOKUP($A18,'k=2'!$A$2:$E$154,4,0)</f>
        <v>219</v>
      </c>
      <c r="I18" s="9">
        <f>VLOOKUP($A18,'k=3'!$A$2:$E$154,4,0)</f>
        <v>94</v>
      </c>
      <c r="J18" s="9">
        <f>VLOOKUP($A18,'k=4'!$A$2:$E$154,4,0)</f>
        <v>34</v>
      </c>
      <c r="K18" s="9">
        <f>VLOOKUP($A18,'k=5'!$A$2:$E$154,4,0)</f>
        <v>12</v>
      </c>
      <c r="L18" s="9">
        <f>VLOOKUP($A18,'k=6'!$A$2:$E$154,4,0)</f>
        <v>4</v>
      </c>
      <c r="N18" s="13">
        <f t="shared" si="1"/>
        <v>0.0429562455</v>
      </c>
      <c r="P18" s="26" t="s">
        <v>66</v>
      </c>
      <c r="Q18" s="13">
        <v>0.021817092860883177</v>
      </c>
    </row>
    <row r="19">
      <c r="A19" s="26" t="s">
        <v>145</v>
      </c>
      <c r="B19" s="13">
        <f>VLOOKUP($A19,'k=2'!$A$2:$E$154,5,0)</f>
        <v>0.05061702128</v>
      </c>
      <c r="C19" s="13">
        <f>VLOOKUP($A19,'k=3'!$A$2:$E$154,5,0)</f>
        <v>0.1372553191</v>
      </c>
      <c r="D19" s="13">
        <f>VLOOKUP($A19,'k=4'!$A$2:$E$154,5,0)</f>
        <v>0.1364893617</v>
      </c>
      <c r="E19" s="13">
        <f>VLOOKUP($A19,'k=5'!$A$2:$E$154,5,0)</f>
        <v>0.4393617021</v>
      </c>
      <c r="F19" s="13">
        <f>VLOOKUP($A19,'k=6'!$A$2:$E$154,5,0)</f>
        <v>0.5095957447</v>
      </c>
      <c r="H19" s="9">
        <f>VLOOKUP($A19,'k=2'!$A$2:$E$154,4,0)</f>
        <v>239</v>
      </c>
      <c r="I19" s="9">
        <f>VLOOKUP($A19,'k=3'!$A$2:$E$154,4,0)</f>
        <v>88</v>
      </c>
      <c r="J19" s="9">
        <f>VLOOKUP($A19,'k=4'!$A$2:$E$154,4,0)</f>
        <v>37</v>
      </c>
      <c r="K19" s="9">
        <f>VLOOKUP($A19,'k=5'!$A$2:$E$154,4,0)</f>
        <v>9</v>
      </c>
      <c r="L19" s="9">
        <f>VLOOKUP($A19,'k=6'!$A$2:$E$154,4,0)</f>
        <v>3</v>
      </c>
      <c r="N19" s="13">
        <f t="shared" si="1"/>
        <v>0.09231139656</v>
      </c>
      <c r="P19" s="26" t="s">
        <v>62</v>
      </c>
      <c r="Q19" s="13">
        <v>0.02219286862132738</v>
      </c>
    </row>
    <row r="20">
      <c r="A20" s="26" t="s">
        <v>80</v>
      </c>
      <c r="B20" s="13">
        <f>VLOOKUP($A20,'k=2'!$A$2:$E$154,5,0)</f>
        <v>0.02273282443</v>
      </c>
      <c r="C20" s="13">
        <f>VLOOKUP($A20,'k=3'!$A$2:$E$154,5,0)</f>
        <v>0.09912977099</v>
      </c>
      <c r="D20" s="13">
        <f>VLOOKUP($A20,'k=4'!$A$2:$E$154,5,0)</f>
        <v>0.1987022901</v>
      </c>
      <c r="E20" s="13">
        <f>VLOOKUP($A20,'k=5'!$A$2:$E$154,5,0)</f>
        <v>0.7382290076</v>
      </c>
      <c r="F20" s="13">
        <f>VLOOKUP($A20,'k=6'!$A$2:$E$154,5,0)</f>
        <v>1</v>
      </c>
      <c r="H20" s="9">
        <f>VLOOKUP($A20,'k=2'!$A$2:$E$154,4,0)</f>
        <v>175</v>
      </c>
      <c r="I20" s="9">
        <f>VLOOKUP($A20,'k=3'!$A$2:$E$154,4,0)</f>
        <v>57</v>
      </c>
      <c r="J20" s="9">
        <f>VLOOKUP($A20,'k=4'!$A$2:$E$154,4,0)</f>
        <v>18</v>
      </c>
      <c r="K20" s="9">
        <f>VLOOKUP($A20,'k=5'!$A$2:$E$154,4,0)</f>
        <v>1</v>
      </c>
      <c r="L20" s="9">
        <f>VLOOKUP($A20,'k=6'!$A$2:$E$154,4,0)</f>
        <v>0</v>
      </c>
      <c r="N20" s="13">
        <f t="shared" si="1"/>
        <v>0.05555183845</v>
      </c>
      <c r="P20" s="26" t="s">
        <v>93</v>
      </c>
      <c r="Q20" s="13">
        <v>0.022456660436940078</v>
      </c>
    </row>
    <row r="21">
      <c r="A21" s="26" t="s">
        <v>118</v>
      </c>
      <c r="B21" s="13">
        <f>VLOOKUP($A21,'k=2'!$A$2:$E$154,5,0)</f>
        <v>0.03795588235</v>
      </c>
      <c r="C21" s="13">
        <f>VLOOKUP($A21,'k=3'!$A$2:$E$154,5,0)</f>
        <v>0.08126470588</v>
      </c>
      <c r="D21" s="13">
        <f>VLOOKUP($A21,'k=4'!$A$2:$E$154,5,0)</f>
        <v>0.09245588235</v>
      </c>
      <c r="E21" s="13">
        <f>VLOOKUP($A21,'k=5'!$A$2:$E$154,5,0)</f>
        <v>0.1131029412</v>
      </c>
      <c r="F21" s="13">
        <f>VLOOKUP($A21,'k=6'!$A$2:$E$154,5,0)</f>
        <v>0.1707941176</v>
      </c>
      <c r="H21" s="9">
        <f>VLOOKUP($A21,'k=2'!$A$2:$E$154,4,0)</f>
        <v>413</v>
      </c>
      <c r="I21" s="9">
        <f>VLOOKUP($A21,'k=3'!$A$2:$E$154,4,0)</f>
        <v>203</v>
      </c>
      <c r="J21" s="9">
        <f>VLOOKUP($A21,'k=4'!$A$2:$E$154,4,0)</f>
        <v>101</v>
      </c>
      <c r="K21" s="9">
        <f>VLOOKUP($A21,'k=5'!$A$2:$E$154,4,0)</f>
        <v>51</v>
      </c>
      <c r="L21" s="9">
        <f>VLOOKUP($A21,'k=6'!$A$2:$E$154,4,0)</f>
        <v>23</v>
      </c>
      <c r="N21" s="13">
        <f t="shared" si="1"/>
        <v>0.06473713468</v>
      </c>
      <c r="P21" s="26" t="s">
        <v>72</v>
      </c>
      <c r="Q21" s="13">
        <v>0.02346784311240647</v>
      </c>
    </row>
    <row r="22">
      <c r="A22" s="26" t="s">
        <v>75</v>
      </c>
      <c r="B22" s="13">
        <f>VLOOKUP($A22,'k=2'!$A$2:$E$154,5,0)</f>
        <v>0.02067164179</v>
      </c>
      <c r="C22" s="13">
        <f>VLOOKUP($A22,'k=3'!$A$2:$E$154,5,0)</f>
        <v>0.01786567164</v>
      </c>
      <c r="D22" s="13">
        <f>VLOOKUP($A22,'k=4'!$A$2:$E$154,5,0)</f>
        <v>0.05592537313</v>
      </c>
      <c r="E22" s="13">
        <f>VLOOKUP($A22,'k=5'!$A$2:$E$154,5,0)</f>
        <v>0.1386119403</v>
      </c>
      <c r="F22" s="13">
        <f>VLOOKUP($A22,'k=6'!$A$2:$E$154,5,0)</f>
        <v>0.2029253731</v>
      </c>
      <c r="H22" s="9">
        <f>VLOOKUP($A22,'k=2'!$A$2:$E$154,4,0)</f>
        <v>194</v>
      </c>
      <c r="I22" s="9">
        <f>VLOOKUP($A22,'k=3'!$A$2:$E$154,4,0)</f>
        <v>82</v>
      </c>
      <c r="J22" s="9">
        <f>VLOOKUP($A22,'k=4'!$A$2:$E$154,4,0)</f>
        <v>31</v>
      </c>
      <c r="K22" s="9">
        <f>VLOOKUP($A22,'k=5'!$A$2:$E$154,4,0)</f>
        <v>11</v>
      </c>
      <c r="L22" s="9">
        <f>VLOOKUP($A22,'k=6'!$A$2:$E$154,4,0)</f>
        <v>4</v>
      </c>
      <c r="N22" s="13">
        <f t="shared" si="1"/>
        <v>0.02964410865</v>
      </c>
      <c r="P22" s="26" t="s">
        <v>85</v>
      </c>
      <c r="Q22" s="13">
        <v>0.02353203194598561</v>
      </c>
    </row>
    <row r="23">
      <c r="A23" s="26" t="s">
        <v>74</v>
      </c>
      <c r="B23" s="13">
        <f>VLOOKUP($A23,'k=2'!$A$2:$E$154,5,0)</f>
        <v>0.02019230769</v>
      </c>
      <c r="C23" s="13">
        <f>VLOOKUP($A23,'k=3'!$A$2:$E$154,5,0)</f>
        <v>0.06680769231</v>
      </c>
      <c r="D23" s="13">
        <f>VLOOKUP($A23,'k=4'!$A$2:$E$154,5,0)</f>
        <v>0.05651923077</v>
      </c>
      <c r="E23" s="13">
        <f>VLOOKUP($A23,'k=5'!$A$2:$E$154,5,0)</f>
        <v>0.06617307692</v>
      </c>
      <c r="F23" s="13">
        <f>VLOOKUP($A23,'k=6'!$A$2:$E$154,5,0)</f>
        <v>0.1198461538</v>
      </c>
      <c r="H23" s="9">
        <f>VLOOKUP($A23,'k=2'!$A$2:$E$154,4,0)</f>
        <v>129</v>
      </c>
      <c r="I23" s="9">
        <f>VLOOKUP($A23,'k=3'!$A$2:$E$154,4,0)</f>
        <v>44</v>
      </c>
      <c r="J23" s="9">
        <f>VLOOKUP($A23,'k=4'!$A$2:$E$154,4,0)</f>
        <v>19</v>
      </c>
      <c r="K23" s="9">
        <f>VLOOKUP($A23,'k=5'!$A$2:$E$154,4,0)</f>
        <v>8</v>
      </c>
      <c r="L23" s="9">
        <f>VLOOKUP($A23,'k=6'!$A$2:$E$154,4,0)</f>
        <v>3</v>
      </c>
      <c r="N23" s="13">
        <f t="shared" si="1"/>
        <v>0.0369809587</v>
      </c>
      <c r="P23" s="26" t="s">
        <v>46</v>
      </c>
      <c r="Q23" s="13">
        <v>0.026001842863019275</v>
      </c>
    </row>
    <row r="24">
      <c r="A24" s="26" t="s">
        <v>140</v>
      </c>
      <c r="B24" s="13">
        <f>VLOOKUP($A24,'k=2'!$A$2:$E$154,5,0)</f>
        <v>0.04840860215</v>
      </c>
      <c r="C24" s="13">
        <f>VLOOKUP($A24,'k=3'!$A$2:$E$154,5,0)</f>
        <v>0.07378494624</v>
      </c>
      <c r="D24" s="13">
        <f>VLOOKUP($A24,'k=4'!$A$2:$E$154,5,0)</f>
        <v>0.2767741935</v>
      </c>
      <c r="E24" s="13">
        <f>VLOOKUP($A24,'k=5'!$A$2:$E$154,5,0)</f>
        <v>0.3959569892</v>
      </c>
      <c r="F24" s="13">
        <f>VLOOKUP($A24,'k=6'!$A$2:$E$154,5,0)</f>
        <v>0.4980860215</v>
      </c>
      <c r="H24" s="9">
        <f>VLOOKUP($A24,'k=2'!$A$2:$E$154,4,0)</f>
        <v>168</v>
      </c>
      <c r="I24" s="9">
        <f>VLOOKUP($A24,'k=3'!$A$2:$E$154,4,0)</f>
        <v>66</v>
      </c>
      <c r="J24" s="9">
        <f>VLOOKUP($A24,'k=4'!$A$2:$E$154,4,0)</f>
        <v>19</v>
      </c>
      <c r="K24" s="9">
        <f>VLOOKUP($A24,'k=5'!$A$2:$E$154,4,0)</f>
        <v>6</v>
      </c>
      <c r="L24" s="9">
        <f>VLOOKUP($A24,'k=6'!$A$2:$E$154,4,0)</f>
        <v>2</v>
      </c>
      <c r="N24" s="13">
        <f t="shared" si="1"/>
        <v>0.08288534586</v>
      </c>
      <c r="P24" s="26" t="s">
        <v>34</v>
      </c>
      <c r="Q24" s="13">
        <v>0.027304813295920546</v>
      </c>
    </row>
    <row r="25">
      <c r="A25" s="26" t="s">
        <v>147</v>
      </c>
      <c r="B25" s="13">
        <f>VLOOKUP($A25,'k=2'!$A$2:$E$154,5,0)</f>
        <v>0.05169230769</v>
      </c>
      <c r="C25" s="13">
        <f>VLOOKUP($A25,'k=3'!$A$2:$E$154,5,0)</f>
        <v>0.038</v>
      </c>
      <c r="D25" s="13">
        <f>VLOOKUP($A25,'k=4'!$A$2:$E$154,5,0)</f>
        <v>0.08115384615</v>
      </c>
      <c r="E25" s="13">
        <f>VLOOKUP($A25,'k=5'!$A$2:$E$154,5,0)</f>
        <v>0.1437307692</v>
      </c>
      <c r="F25" s="13">
        <f>VLOOKUP($A25,'k=6'!$A$2:$E$154,5,0)</f>
        <v>0.2946923077</v>
      </c>
      <c r="H25" s="9">
        <f>VLOOKUP($A25,'k=2'!$A$2:$E$154,4,0)</f>
        <v>103</v>
      </c>
      <c r="I25" s="9">
        <f>VLOOKUP($A25,'k=3'!$A$2:$E$154,4,0)</f>
        <v>46</v>
      </c>
      <c r="J25" s="9">
        <f>VLOOKUP($A25,'k=4'!$A$2:$E$154,4,0)</f>
        <v>20</v>
      </c>
      <c r="K25" s="9">
        <f>VLOOKUP($A25,'k=5'!$A$2:$E$154,4,0)</f>
        <v>8</v>
      </c>
      <c r="L25" s="9">
        <f>VLOOKUP($A25,'k=6'!$A$2:$E$154,4,0)</f>
        <v>3</v>
      </c>
      <c r="N25" s="13">
        <f t="shared" si="1"/>
        <v>0.05960726496</v>
      </c>
      <c r="P25" s="26" t="s">
        <v>141</v>
      </c>
      <c r="Q25" s="13">
        <v>0.027359135182998786</v>
      </c>
    </row>
    <row r="26">
      <c r="A26" s="26" t="s">
        <v>130</v>
      </c>
      <c r="B26" s="13">
        <f>VLOOKUP($A26,'k=2'!$A$2:$E$154,5,0)</f>
        <v>0.04451376147</v>
      </c>
      <c r="C26" s="13">
        <f>VLOOKUP($A26,'k=3'!$A$2:$E$154,5,0)</f>
        <v>0.06137614679</v>
      </c>
      <c r="D26" s="13">
        <f>VLOOKUP($A26,'k=4'!$A$2:$E$154,5,0)</f>
        <v>0.06601834862</v>
      </c>
      <c r="E26" s="13">
        <f>VLOOKUP($A26,'k=5'!$A$2:$E$154,5,0)</f>
        <v>0.02688073394</v>
      </c>
      <c r="F26" s="13">
        <f>VLOOKUP($A26,'k=6'!$A$2:$E$154,5,0)</f>
        <v>0.1431376147</v>
      </c>
      <c r="H26" s="9">
        <f>VLOOKUP($A26,'k=2'!$A$2:$E$154,4,0)</f>
        <v>242</v>
      </c>
      <c r="I26" s="9">
        <f>VLOOKUP($A26,'k=3'!$A$2:$E$154,4,0)</f>
        <v>108</v>
      </c>
      <c r="J26" s="9">
        <f>VLOOKUP($A26,'k=4'!$A$2:$E$154,4,0)</f>
        <v>50</v>
      </c>
      <c r="K26" s="9">
        <f>VLOOKUP($A26,'k=5'!$A$2:$E$154,4,0)</f>
        <v>28</v>
      </c>
      <c r="L26" s="9">
        <f>VLOOKUP($A26,'k=6'!$A$2:$E$154,4,0)</f>
        <v>10</v>
      </c>
      <c r="N26" s="13">
        <f t="shared" si="1"/>
        <v>0.05225093209</v>
      </c>
      <c r="P26" s="26" t="s">
        <v>67</v>
      </c>
      <c r="Q26" s="13">
        <v>0.028601756568283697</v>
      </c>
    </row>
    <row r="27">
      <c r="A27" s="26" t="s">
        <v>163</v>
      </c>
      <c r="B27" s="13">
        <f>VLOOKUP($A27,'k=2'!$A$2:$E$154,5,0)</f>
        <v>0.06250746269</v>
      </c>
      <c r="C27" s="13">
        <f>VLOOKUP($A27,'k=3'!$A$2:$E$154,5,0)</f>
        <v>0.08564179104</v>
      </c>
      <c r="D27" s="13">
        <f>VLOOKUP($A27,'k=4'!$A$2:$E$154,5,0)</f>
        <v>0.2218059701</v>
      </c>
      <c r="E27" s="13">
        <f>VLOOKUP($A27,'k=5'!$A$2:$E$154,5,0)</f>
        <v>1</v>
      </c>
      <c r="F27" s="13">
        <f>VLOOKUP($A27,'k=6'!$A$2:$E$154,5,0)</f>
        <v>1</v>
      </c>
      <c r="H27" s="9">
        <f>VLOOKUP($A27,'k=2'!$A$2:$E$154,4,0)</f>
        <v>145</v>
      </c>
      <c r="I27" s="9">
        <f>VLOOKUP($A27,'k=3'!$A$2:$E$154,4,0)</f>
        <v>53</v>
      </c>
      <c r="J27" s="9">
        <f>VLOOKUP($A27,'k=4'!$A$2:$E$154,4,0)</f>
        <v>14</v>
      </c>
      <c r="K27" s="9">
        <f>VLOOKUP($A27,'k=5'!$A$2:$E$154,4,0)</f>
        <v>0</v>
      </c>
      <c r="L27" s="9">
        <f>VLOOKUP($A27,'k=6'!$A$2:$E$154,4,0)</f>
        <v>0</v>
      </c>
      <c r="N27" s="13">
        <f t="shared" si="1"/>
        <v>0.07881075753</v>
      </c>
      <c r="P27" s="26" t="s">
        <v>40</v>
      </c>
      <c r="Q27" s="13">
        <v>0.028723236741388637</v>
      </c>
    </row>
    <row r="28">
      <c r="A28" s="26" t="s">
        <v>109</v>
      </c>
      <c r="B28" s="13">
        <f>VLOOKUP($A28,'k=2'!$A$2:$E$154,5,0)</f>
        <v>0.03667741935</v>
      </c>
      <c r="C28" s="13">
        <f>VLOOKUP($A28,'k=3'!$A$2:$E$154,5,0)</f>
        <v>0.04556451613</v>
      </c>
      <c r="D28" s="13">
        <f>VLOOKUP($A28,'k=4'!$A$2:$E$154,5,0)</f>
        <v>0.02838709677</v>
      </c>
      <c r="E28" s="13">
        <f>VLOOKUP($A28,'k=5'!$A$2:$E$154,5,0)</f>
        <v>0.0615483871</v>
      </c>
      <c r="F28" s="13">
        <f>VLOOKUP($A28,'k=6'!$A$2:$E$154,5,0)</f>
        <v>0.3889032258</v>
      </c>
      <c r="H28" s="9">
        <f>VLOOKUP($A28,'k=2'!$A$2:$E$154,4,0)</f>
        <v>242</v>
      </c>
      <c r="I28" s="9">
        <f>VLOOKUP($A28,'k=3'!$A$2:$E$154,4,0)</f>
        <v>103</v>
      </c>
      <c r="J28" s="9">
        <f>VLOOKUP($A28,'k=4'!$A$2:$E$154,4,0)</f>
        <v>47</v>
      </c>
      <c r="K28" s="9">
        <f>VLOOKUP($A28,'k=5'!$A$2:$E$154,4,0)</f>
        <v>20</v>
      </c>
      <c r="L28" s="9">
        <f>VLOOKUP($A28,'k=6'!$A$2:$E$154,4,0)</f>
        <v>4</v>
      </c>
      <c r="N28" s="13">
        <f t="shared" si="1"/>
        <v>0.04252368952</v>
      </c>
      <c r="P28" s="26" t="s">
        <v>138</v>
      </c>
      <c r="Q28" s="13">
        <v>0.029125461822660098</v>
      </c>
    </row>
    <row r="29">
      <c r="A29" s="26" t="s">
        <v>127</v>
      </c>
      <c r="B29" s="13">
        <f>VLOOKUP($A29,'k=2'!$A$2:$E$154,5,0)</f>
        <v>0.0439009901</v>
      </c>
      <c r="C29" s="13">
        <f>VLOOKUP($A29,'k=3'!$A$2:$E$154,5,0)</f>
        <v>0.1089306931</v>
      </c>
      <c r="D29" s="13">
        <f>VLOOKUP($A29,'k=4'!$A$2:$E$154,5,0)</f>
        <v>0.1664554455</v>
      </c>
      <c r="E29" s="13">
        <f>VLOOKUP($A29,'k=5'!$A$2:$E$154,5,0)</f>
        <v>0.3326336634</v>
      </c>
      <c r="F29" s="13">
        <f>VLOOKUP($A29,'k=6'!$A$2:$E$154,5,0)</f>
        <v>0.4043762376</v>
      </c>
      <c r="H29" s="9">
        <f>VLOOKUP($A29,'k=2'!$A$2:$E$154,4,0)</f>
        <v>231</v>
      </c>
      <c r="I29" s="9">
        <f>VLOOKUP($A29,'k=3'!$A$2:$E$154,4,0)</f>
        <v>97</v>
      </c>
      <c r="J29" s="9">
        <f>VLOOKUP($A29,'k=4'!$A$2:$E$154,4,0)</f>
        <v>40</v>
      </c>
      <c r="K29" s="9">
        <f>VLOOKUP($A29,'k=5'!$A$2:$E$154,4,0)</f>
        <v>14</v>
      </c>
      <c r="L29" s="9">
        <f>VLOOKUP($A29,'k=6'!$A$2:$E$154,4,0)</f>
        <v>5</v>
      </c>
      <c r="N29" s="13">
        <f t="shared" si="1"/>
        <v>0.08796996444</v>
      </c>
      <c r="P29" s="26" t="s">
        <v>75</v>
      </c>
      <c r="Q29" s="13">
        <v>0.029644108649299998</v>
      </c>
    </row>
    <row r="30">
      <c r="A30" s="26" t="s">
        <v>160</v>
      </c>
      <c r="B30" s="13">
        <f>VLOOKUP($A30,'k=2'!$A$2:$E$154,5,0)</f>
        <v>0.05955371901</v>
      </c>
      <c r="C30" s="13">
        <f>VLOOKUP($A30,'k=3'!$A$2:$E$154,5,0)</f>
        <v>0.04740495868</v>
      </c>
      <c r="D30" s="13">
        <f>VLOOKUP($A30,'k=4'!$A$2:$E$154,5,0)</f>
        <v>0.03968595041</v>
      </c>
      <c r="E30" s="13">
        <f>VLOOKUP($A30,'k=5'!$A$2:$E$154,5,0)</f>
        <v>0.02459504132</v>
      </c>
      <c r="F30" s="13">
        <f>VLOOKUP($A30,'k=6'!$A$2:$E$154,5,0)</f>
        <v>0.03914049587</v>
      </c>
      <c r="H30" s="9">
        <f>VLOOKUP($A30,'k=2'!$A$2:$E$154,4,0)</f>
        <v>161</v>
      </c>
      <c r="I30" s="9">
        <f>VLOOKUP($A30,'k=3'!$A$2:$E$154,4,0)</f>
        <v>65</v>
      </c>
      <c r="J30" s="9">
        <f>VLOOKUP($A30,'k=4'!$A$2:$E$154,4,0)</f>
        <v>28</v>
      </c>
      <c r="K30" s="9">
        <f>VLOOKUP($A30,'k=5'!$A$2:$E$154,4,0)</f>
        <v>14</v>
      </c>
      <c r="L30" s="9">
        <f>VLOOKUP($A30,'k=6'!$A$2:$E$154,4,0)</f>
        <v>6</v>
      </c>
      <c r="N30" s="13">
        <f t="shared" si="1"/>
        <v>0.0524082162</v>
      </c>
      <c r="P30" s="26" t="s">
        <v>63</v>
      </c>
      <c r="Q30" s="13">
        <v>0.029865725660513896</v>
      </c>
    </row>
    <row r="31">
      <c r="A31" s="26" t="s">
        <v>154</v>
      </c>
      <c r="B31" s="13">
        <f>VLOOKUP($A31,'k=2'!$A$2:$E$154,5,0)</f>
        <v>0.0545</v>
      </c>
      <c r="C31" s="13">
        <f>VLOOKUP($A31,'k=3'!$A$2:$E$154,5,0)</f>
        <v>0.03387878788</v>
      </c>
      <c r="D31" s="13">
        <f>VLOOKUP($A31,'k=4'!$A$2:$E$154,5,0)</f>
        <v>0.110469697</v>
      </c>
      <c r="E31" s="13">
        <f>VLOOKUP($A31,'k=5'!$A$2:$E$154,5,0)</f>
        <v>0.1655454545</v>
      </c>
      <c r="F31" s="13">
        <f>VLOOKUP($A31,'k=6'!$A$2:$E$154,5,0)</f>
        <v>0.3604848485</v>
      </c>
      <c r="H31" s="9">
        <f>VLOOKUP($A31,'k=2'!$A$2:$E$154,4,0)</f>
        <v>163</v>
      </c>
      <c r="I31" s="9">
        <f>VLOOKUP($A31,'k=3'!$A$2:$E$154,4,0)</f>
        <v>69</v>
      </c>
      <c r="J31" s="9">
        <f>VLOOKUP($A31,'k=4'!$A$2:$E$154,4,0)</f>
        <v>23</v>
      </c>
      <c r="K31" s="9">
        <f>VLOOKUP($A31,'k=5'!$A$2:$E$154,4,0)</f>
        <v>8</v>
      </c>
      <c r="L31" s="9">
        <f>VLOOKUP($A31,'k=6'!$A$2:$E$154,4,0)</f>
        <v>2</v>
      </c>
      <c r="N31" s="13">
        <f t="shared" si="1"/>
        <v>0.05965008576</v>
      </c>
      <c r="P31" s="26" t="s">
        <v>84</v>
      </c>
      <c r="Q31" s="13">
        <v>0.03089581517000867</v>
      </c>
    </row>
    <row r="32">
      <c r="A32" s="26" t="s">
        <v>105</v>
      </c>
      <c r="B32" s="13">
        <f>VLOOKUP($A32,'k=2'!$A$2:$E$154,5,0)</f>
        <v>0.03416494845</v>
      </c>
      <c r="C32" s="13">
        <f>VLOOKUP($A32,'k=3'!$A$2:$E$154,5,0)</f>
        <v>0.1184329897</v>
      </c>
      <c r="D32" s="13">
        <f>VLOOKUP($A32,'k=4'!$A$2:$E$154,5,0)</f>
        <v>0.1238762887</v>
      </c>
      <c r="E32" s="13">
        <f>VLOOKUP($A32,'k=5'!$A$2:$E$154,5,0)</f>
        <v>0.220371134</v>
      </c>
      <c r="F32" s="13">
        <f>VLOOKUP($A32,'k=6'!$A$2:$E$154,5,0)</f>
        <v>0.2753814433</v>
      </c>
      <c r="H32" s="9">
        <f>VLOOKUP($A32,'k=2'!$A$2:$E$154,4,0)</f>
        <v>194</v>
      </c>
      <c r="I32" s="9">
        <f>VLOOKUP($A32,'k=3'!$A$2:$E$154,4,0)</f>
        <v>68</v>
      </c>
      <c r="J32" s="9">
        <f>VLOOKUP($A32,'k=4'!$A$2:$E$154,4,0)</f>
        <v>28</v>
      </c>
      <c r="K32" s="9">
        <f>VLOOKUP($A32,'k=5'!$A$2:$E$154,4,0)</f>
        <v>9</v>
      </c>
      <c r="L32" s="9">
        <f>VLOOKUP($A32,'k=6'!$A$2:$E$154,4,0)</f>
        <v>3</v>
      </c>
      <c r="N32" s="13">
        <f t="shared" si="1"/>
        <v>0.0694021984</v>
      </c>
      <c r="P32" s="26" t="s">
        <v>81</v>
      </c>
      <c r="Q32" s="13">
        <v>0.031741199572612504</v>
      </c>
    </row>
    <row r="33">
      <c r="A33" s="26" t="s">
        <v>138</v>
      </c>
      <c r="B33" s="13">
        <f>VLOOKUP($A33,'k=2'!$A$2:$E$154,5,0)</f>
        <v>0.04753125</v>
      </c>
      <c r="C33" s="13">
        <f>VLOOKUP($A33,'k=3'!$A$2:$E$154,5,0)</f>
        <v>0.00959375</v>
      </c>
      <c r="D33" s="13">
        <f>VLOOKUP($A33,'k=4'!$A$2:$E$154,5,0)</f>
        <v>0.0123125</v>
      </c>
      <c r="E33" s="13">
        <f>VLOOKUP($A33,'k=5'!$A$2:$E$154,5,0)</f>
        <v>0.010125</v>
      </c>
      <c r="F33" s="13">
        <f>VLOOKUP($A33,'k=6'!$A$2:$E$154,5,0)</f>
        <v>0.03784375</v>
      </c>
      <c r="H33" s="9">
        <f>VLOOKUP($A33,'k=2'!$A$2:$E$154,4,0)</f>
        <v>288</v>
      </c>
      <c r="I33" s="9">
        <f>VLOOKUP($A33,'k=3'!$A$2:$E$154,4,0)</f>
        <v>160</v>
      </c>
      <c r="J33" s="9">
        <f>VLOOKUP($A33,'k=4'!$A$2:$E$154,4,0)</f>
        <v>87</v>
      </c>
      <c r="K33" s="9">
        <f>VLOOKUP($A33,'k=5'!$A$2:$E$154,4,0)</f>
        <v>49</v>
      </c>
      <c r="L33" s="9">
        <f>VLOOKUP($A33,'k=6'!$A$2:$E$154,4,0)</f>
        <v>25</v>
      </c>
      <c r="N33" s="13">
        <f t="shared" si="1"/>
        <v>0.02912546182</v>
      </c>
      <c r="P33" s="26" t="s">
        <v>101</v>
      </c>
      <c r="Q33" s="13">
        <v>0.03207450055493887</v>
      </c>
    </row>
    <row r="34">
      <c r="A34" s="26" t="s">
        <v>77</v>
      </c>
      <c r="B34" s="13">
        <f>VLOOKUP($A34,'k=2'!$A$2:$E$154,5,0)</f>
        <v>0.02118518519</v>
      </c>
      <c r="C34" s="13">
        <f>VLOOKUP($A34,'k=3'!$A$2:$E$154,5,0)</f>
        <v>0.04775308642</v>
      </c>
      <c r="D34" s="13">
        <f>VLOOKUP($A34,'k=4'!$A$2:$E$154,5,0)</f>
        <v>0.09817283951</v>
      </c>
      <c r="E34" s="13">
        <f>VLOOKUP($A34,'k=5'!$A$2:$E$154,5,0)</f>
        <v>0.1958024691</v>
      </c>
      <c r="F34" s="13">
        <f>VLOOKUP($A34,'k=6'!$A$2:$E$154,5,0)</f>
        <v>0.2585679012</v>
      </c>
      <c r="H34" s="9">
        <f>VLOOKUP($A34,'k=2'!$A$2:$E$154,4,0)</f>
        <v>277</v>
      </c>
      <c r="I34" s="9">
        <f>VLOOKUP($A34,'k=3'!$A$2:$E$154,4,0)</f>
        <v>135</v>
      </c>
      <c r="J34" s="9">
        <f>VLOOKUP($A34,'k=4'!$A$2:$E$154,4,0)</f>
        <v>65</v>
      </c>
      <c r="K34" s="9">
        <f>VLOOKUP($A34,'k=5'!$A$2:$E$154,4,0)</f>
        <v>29</v>
      </c>
      <c r="L34" s="9">
        <f>VLOOKUP($A34,'k=6'!$A$2:$E$154,4,0)</f>
        <v>14</v>
      </c>
      <c r="N34" s="13">
        <f t="shared" si="1"/>
        <v>0.0538354226</v>
      </c>
      <c r="P34" s="26" t="s">
        <v>56</v>
      </c>
      <c r="Q34" s="13">
        <v>0.03256779279279275</v>
      </c>
    </row>
    <row r="35">
      <c r="A35" s="26" t="s">
        <v>48</v>
      </c>
      <c r="B35" s="13">
        <f>VLOOKUP($A35,'k=2'!$A$2:$E$154,5,0)</f>
        <v>0.01277647059</v>
      </c>
      <c r="C35" s="13">
        <f>VLOOKUP($A35,'k=3'!$A$2:$E$154,5,0)</f>
        <v>0.07075294118</v>
      </c>
      <c r="D35" s="13">
        <f>VLOOKUP($A35,'k=4'!$A$2:$E$154,5,0)</f>
        <v>0.1599294118</v>
      </c>
      <c r="E35" s="13">
        <f>VLOOKUP($A35,'k=5'!$A$2:$E$154,5,0)</f>
        <v>0.2159058824</v>
      </c>
      <c r="F35" s="13">
        <f>VLOOKUP($A35,'k=6'!$A$2:$E$154,5,0)</f>
        <v>0.1428470588</v>
      </c>
      <c r="H35" s="9">
        <f>VLOOKUP($A35,'k=2'!$A$2:$E$154,4,0)</f>
        <v>214</v>
      </c>
      <c r="I35" s="9">
        <f>VLOOKUP($A35,'k=3'!$A$2:$E$154,4,0)</f>
        <v>84</v>
      </c>
      <c r="J35" s="9">
        <f>VLOOKUP($A35,'k=4'!$A$2:$E$154,4,0)</f>
        <v>32</v>
      </c>
      <c r="K35" s="9">
        <f>VLOOKUP($A35,'k=5'!$A$2:$E$154,4,0)</f>
        <v>13</v>
      </c>
      <c r="L35" s="9">
        <f>VLOOKUP($A35,'k=6'!$A$2:$E$154,4,0)</f>
        <v>7</v>
      </c>
      <c r="N35" s="13">
        <f t="shared" si="1"/>
        <v>0.05029102521</v>
      </c>
      <c r="P35" s="26" t="s">
        <v>28</v>
      </c>
      <c r="Q35" s="13">
        <v>0.03277315573770492</v>
      </c>
    </row>
    <row r="36">
      <c r="A36" s="26" t="s">
        <v>108</v>
      </c>
      <c r="B36" s="13">
        <f>VLOOKUP($A36,'k=2'!$A$2:$E$154,5,0)</f>
        <v>0.03605309735</v>
      </c>
      <c r="C36" s="13">
        <f>VLOOKUP($A36,'k=3'!$A$2:$E$154,5,0)</f>
        <v>0.08251327434</v>
      </c>
      <c r="D36" s="13">
        <f>VLOOKUP($A36,'k=4'!$A$2:$E$154,5,0)</f>
        <v>0.145699115</v>
      </c>
      <c r="E36" s="13">
        <f>VLOOKUP($A36,'k=5'!$A$2:$E$154,5,0)</f>
        <v>0.2668141593</v>
      </c>
      <c r="F36" s="13">
        <f>VLOOKUP($A36,'k=6'!$A$2:$E$154,5,0)</f>
        <v>0.3891858407</v>
      </c>
      <c r="H36" s="9">
        <f>VLOOKUP($A36,'k=2'!$A$2:$E$154,4,0)</f>
        <v>242</v>
      </c>
      <c r="I36" s="9">
        <f>VLOOKUP($A36,'k=3'!$A$2:$E$154,4,0)</f>
        <v>93</v>
      </c>
      <c r="J36" s="9">
        <f>VLOOKUP($A36,'k=4'!$A$2:$E$154,4,0)</f>
        <v>36</v>
      </c>
      <c r="K36" s="9">
        <f>VLOOKUP($A36,'k=5'!$A$2:$E$154,4,0)</f>
        <v>12</v>
      </c>
      <c r="L36" s="9">
        <f>VLOOKUP($A36,'k=6'!$A$2:$E$154,4,0)</f>
        <v>4</v>
      </c>
      <c r="N36" s="13">
        <f t="shared" si="1"/>
        <v>0.06822290823</v>
      </c>
      <c r="P36" s="26" t="s">
        <v>107</v>
      </c>
      <c r="Q36" s="13">
        <v>0.03342541507024261</v>
      </c>
    </row>
    <row r="37">
      <c r="A37" s="26" t="s">
        <v>187</v>
      </c>
      <c r="B37" s="13">
        <f>VLOOKUP($A37,'k=2'!$A$2:$E$154,5,0)</f>
        <v>0.1177171717</v>
      </c>
      <c r="C37" s="13">
        <f>VLOOKUP($A37,'k=3'!$A$2:$E$154,5,0)</f>
        <v>0.1632525253</v>
      </c>
      <c r="D37" s="13">
        <f>VLOOKUP($A37,'k=4'!$A$2:$E$154,5,0)</f>
        <v>0.2393737374</v>
      </c>
      <c r="E37" s="13">
        <f>VLOOKUP($A37,'k=5'!$A$2:$E$154,5,0)</f>
        <v>0.4020808081</v>
      </c>
      <c r="F37" s="13">
        <f>VLOOKUP($A37,'k=6'!$A$2:$E$154,5,0)</f>
        <v>1</v>
      </c>
      <c r="H37" s="9">
        <f>VLOOKUP($A37,'k=2'!$A$2:$E$154,4,0)</f>
        <v>144</v>
      </c>
      <c r="I37" s="9">
        <f>VLOOKUP($A37,'k=3'!$A$2:$E$154,4,0)</f>
        <v>53</v>
      </c>
      <c r="J37" s="9">
        <f>VLOOKUP($A37,'k=4'!$A$2:$E$154,4,0)</f>
        <v>19</v>
      </c>
      <c r="K37" s="9">
        <f>VLOOKUP($A37,'k=5'!$A$2:$E$154,4,0)</f>
        <v>5</v>
      </c>
      <c r="L37" s="9">
        <f>VLOOKUP($A37,'k=6'!$A$2:$E$154,4,0)</f>
        <v>0</v>
      </c>
      <c r="N37" s="13">
        <f t="shared" si="1"/>
        <v>0.1455301431</v>
      </c>
      <c r="P37" s="26" t="s">
        <v>112</v>
      </c>
      <c r="Q37" s="13">
        <v>0.033843294579990114</v>
      </c>
    </row>
    <row r="38">
      <c r="A38" s="26" t="s">
        <v>96</v>
      </c>
      <c r="B38" s="13">
        <f>VLOOKUP($A38,'k=2'!$A$2:$E$154,5,0)</f>
        <v>0.03044628099</v>
      </c>
      <c r="C38" s="13">
        <f>VLOOKUP($A38,'k=3'!$A$2:$E$154,5,0)</f>
        <v>0.03181818182</v>
      </c>
      <c r="D38" s="13">
        <f>VLOOKUP($A38,'k=4'!$A$2:$E$154,5,0)</f>
        <v>0.04626446281</v>
      </c>
      <c r="E38" s="13">
        <f>VLOOKUP($A38,'k=5'!$A$2:$E$154,5,0)</f>
        <v>0.05697520661</v>
      </c>
      <c r="F38" s="13">
        <f>VLOOKUP($A38,'k=6'!$A$2:$E$154,5,0)</f>
        <v>0.1192066116</v>
      </c>
      <c r="H38" s="9">
        <f>VLOOKUP($A38,'k=2'!$A$2:$E$154,4,0)</f>
        <v>190</v>
      </c>
      <c r="I38" s="9">
        <f>VLOOKUP($A38,'k=3'!$A$2:$E$154,4,0)</f>
        <v>82</v>
      </c>
      <c r="J38" s="9">
        <f>VLOOKUP($A38,'k=4'!$A$2:$E$154,4,0)</f>
        <v>35</v>
      </c>
      <c r="K38" s="9">
        <f>VLOOKUP($A38,'k=5'!$A$2:$E$154,4,0)</f>
        <v>16</v>
      </c>
      <c r="L38" s="9">
        <f>VLOOKUP($A38,'k=6'!$A$2:$E$154,4,0)</f>
        <v>6</v>
      </c>
      <c r="N38" s="13">
        <f t="shared" si="1"/>
        <v>0.03537988897</v>
      </c>
      <c r="P38" s="26" t="s">
        <v>36</v>
      </c>
      <c r="Q38" s="13">
        <v>0.03390134790528227</v>
      </c>
    </row>
    <row r="39">
      <c r="A39" s="26" t="s">
        <v>137</v>
      </c>
      <c r="B39" s="13">
        <f>VLOOKUP($A39,'k=2'!$A$2:$E$154,5,0)</f>
        <v>0.04706349206</v>
      </c>
      <c r="C39" s="13">
        <f>VLOOKUP($A39,'k=3'!$A$2:$E$154,5,0)</f>
        <v>0.06493650794</v>
      </c>
      <c r="D39" s="13">
        <f>VLOOKUP($A39,'k=4'!$A$2:$E$154,5,0)</f>
        <v>0.07092063492</v>
      </c>
      <c r="E39" s="13">
        <f>VLOOKUP($A39,'k=5'!$A$2:$E$154,5,0)</f>
        <v>0.04525396825</v>
      </c>
      <c r="F39" s="13">
        <f>VLOOKUP($A39,'k=6'!$A$2:$E$154,5,0)</f>
        <v>0.05433333333</v>
      </c>
      <c r="H39" s="9">
        <f>VLOOKUP($A39,'k=2'!$A$2:$E$154,4,0)</f>
        <v>176</v>
      </c>
      <c r="I39" s="9">
        <f>VLOOKUP($A39,'k=3'!$A$2:$E$154,4,0)</f>
        <v>71</v>
      </c>
      <c r="J39" s="9">
        <f>VLOOKUP($A39,'k=4'!$A$2:$E$154,4,0)</f>
        <v>30</v>
      </c>
      <c r="K39" s="9">
        <f>VLOOKUP($A39,'k=5'!$A$2:$E$154,4,0)</f>
        <v>15</v>
      </c>
      <c r="L39" s="9">
        <f>VLOOKUP($A39,'k=6'!$A$2:$E$154,4,0)</f>
        <v>7</v>
      </c>
      <c r="N39" s="13">
        <f t="shared" si="1"/>
        <v>0.05378069756</v>
      </c>
      <c r="P39" s="26" t="s">
        <v>96</v>
      </c>
      <c r="Q39" s="13">
        <v>0.035379888969830894</v>
      </c>
    </row>
    <row r="40">
      <c r="A40" s="26" t="s">
        <v>119</v>
      </c>
      <c r="B40" s="13">
        <f>VLOOKUP($A40,'k=2'!$A$2:$E$154,5,0)</f>
        <v>0.03915384615</v>
      </c>
      <c r="C40" s="13">
        <f>VLOOKUP($A40,'k=3'!$A$2:$E$154,5,0)</f>
        <v>0.1447846154</v>
      </c>
      <c r="D40" s="13">
        <f>VLOOKUP($A40,'k=4'!$A$2:$E$154,5,0)</f>
        <v>0.3096923077</v>
      </c>
      <c r="E40" s="13">
        <f>VLOOKUP($A40,'k=5'!$A$2:$E$154,5,0)</f>
        <v>0.4069384615</v>
      </c>
      <c r="F40" s="13">
        <f>VLOOKUP($A40,'k=6'!$A$2:$E$154,5,0)</f>
        <v>0.5682923077</v>
      </c>
      <c r="H40" s="9">
        <f>VLOOKUP($A40,'k=2'!$A$2:$E$154,4,0)</f>
        <v>355</v>
      </c>
      <c r="I40" s="9">
        <f>VLOOKUP($A40,'k=3'!$A$2:$E$154,4,0)</f>
        <v>134</v>
      </c>
      <c r="J40" s="9">
        <f>VLOOKUP($A40,'k=4'!$A$2:$E$154,4,0)</f>
        <v>46</v>
      </c>
      <c r="K40" s="9">
        <f>VLOOKUP($A40,'k=5'!$A$2:$E$154,4,0)</f>
        <v>17</v>
      </c>
      <c r="L40" s="9">
        <f>VLOOKUP($A40,'k=6'!$A$2:$E$154,4,0)</f>
        <v>5</v>
      </c>
      <c r="N40" s="13">
        <f t="shared" si="1"/>
        <v>0.102883331</v>
      </c>
      <c r="P40" s="26" t="s">
        <v>74</v>
      </c>
      <c r="Q40" s="13">
        <v>0.03698095869647586</v>
      </c>
    </row>
    <row r="41">
      <c r="A41" s="26" t="s">
        <v>125</v>
      </c>
      <c r="B41" s="13">
        <f>VLOOKUP($A41,'k=2'!$A$2:$E$154,5,0)</f>
        <v>0.04304166667</v>
      </c>
      <c r="C41" s="13">
        <f>VLOOKUP($A41,'k=3'!$A$2:$E$154,5,0)</f>
        <v>0.1093541667</v>
      </c>
      <c r="D41" s="13">
        <f>VLOOKUP($A41,'k=4'!$A$2:$E$154,5,0)</f>
        <v>0.1860208333</v>
      </c>
      <c r="E41" s="13">
        <f>VLOOKUP($A41,'k=5'!$A$2:$E$154,5,0)</f>
        <v>0.4489375</v>
      </c>
      <c r="F41" s="13">
        <f>VLOOKUP($A41,'k=6'!$A$2:$E$154,5,0)</f>
        <v>0.6940833333</v>
      </c>
      <c r="H41" s="9">
        <f>VLOOKUP($A41,'k=2'!$A$2:$E$154,4,0)</f>
        <v>178</v>
      </c>
      <c r="I41" s="9">
        <f>VLOOKUP($A41,'k=3'!$A$2:$E$154,4,0)</f>
        <v>69</v>
      </c>
      <c r="J41" s="9">
        <f>VLOOKUP($A41,'k=4'!$A$2:$E$154,4,0)</f>
        <v>26</v>
      </c>
      <c r="K41" s="9">
        <f>VLOOKUP($A41,'k=5'!$A$2:$E$154,4,0)</f>
        <v>7</v>
      </c>
      <c r="L41" s="9">
        <f>VLOOKUP($A41,'k=6'!$A$2:$E$154,4,0)</f>
        <v>1</v>
      </c>
      <c r="N41" s="13">
        <f t="shared" si="1"/>
        <v>0.08498235469</v>
      </c>
      <c r="P41" s="26" t="s">
        <v>82</v>
      </c>
      <c r="Q41" s="13">
        <v>0.03705206673387747</v>
      </c>
    </row>
    <row r="42">
      <c r="A42" s="26" t="s">
        <v>183</v>
      </c>
      <c r="B42" s="13">
        <f>VLOOKUP($A42,'k=2'!$A$2:$E$154,5,0)</f>
        <v>0.09179310345</v>
      </c>
      <c r="C42" s="13">
        <f>VLOOKUP($A42,'k=3'!$A$2:$E$154,5,0)</f>
        <v>0.3414137931</v>
      </c>
      <c r="D42" s="13">
        <f>VLOOKUP($A42,'k=4'!$A$2:$E$154,5,0)</f>
        <v>0.5624482759</v>
      </c>
      <c r="E42" s="13">
        <f>VLOOKUP($A42,'k=5'!$A$2:$E$154,5,0)</f>
        <v>0.5100344828</v>
      </c>
      <c r="F42" s="13">
        <f>VLOOKUP($A42,'k=6'!$A$2:$E$154,5,0)</f>
        <v>0.2807241379</v>
      </c>
      <c r="H42" s="9">
        <f>VLOOKUP($A42,'k=2'!$A$2:$E$154,4,0)</f>
        <v>112</v>
      </c>
      <c r="I42" s="9">
        <f>VLOOKUP($A42,'k=3'!$A$2:$E$154,4,0)</f>
        <v>35</v>
      </c>
      <c r="J42" s="9">
        <f>VLOOKUP($A42,'k=4'!$A$2:$E$154,4,0)</f>
        <v>10</v>
      </c>
      <c r="K42" s="9">
        <f>VLOOKUP($A42,'k=5'!$A$2:$E$154,4,0)</f>
        <v>4</v>
      </c>
      <c r="L42" s="9">
        <f>VLOOKUP($A42,'k=6'!$A$2:$E$154,4,0)</f>
        <v>3</v>
      </c>
      <c r="N42" s="13">
        <f t="shared" si="1"/>
        <v>0.1874213625</v>
      </c>
      <c r="P42" s="26" t="s">
        <v>68</v>
      </c>
      <c r="Q42" s="13">
        <v>0.03721971154885716</v>
      </c>
    </row>
    <row r="43">
      <c r="A43" s="26" t="s">
        <v>129</v>
      </c>
      <c r="B43" s="13">
        <f>VLOOKUP($A43,'k=2'!$A$2:$E$154,5,0)</f>
        <v>0.04424299065</v>
      </c>
      <c r="C43" s="13">
        <f>VLOOKUP($A43,'k=3'!$A$2:$E$154,5,0)</f>
        <v>0.155588785</v>
      </c>
      <c r="D43" s="13">
        <f>VLOOKUP($A43,'k=4'!$A$2:$E$154,5,0)</f>
        <v>0.2258691589</v>
      </c>
      <c r="E43" s="13">
        <f>VLOOKUP($A43,'k=5'!$A$2:$E$154,5,0)</f>
        <v>0.3859065421</v>
      </c>
      <c r="F43" s="13">
        <f>VLOOKUP($A43,'k=6'!$A$2:$E$154,5,0)</f>
        <v>0.2338878505</v>
      </c>
      <c r="H43" s="9">
        <f>VLOOKUP($A43,'k=2'!$A$2:$E$154,4,0)</f>
        <v>160</v>
      </c>
      <c r="I43" s="9">
        <f>VLOOKUP($A43,'k=3'!$A$2:$E$154,4,0)</f>
        <v>57</v>
      </c>
      <c r="J43" s="9">
        <f>VLOOKUP($A43,'k=4'!$A$2:$E$154,4,0)</f>
        <v>22</v>
      </c>
      <c r="K43" s="9">
        <f>VLOOKUP($A43,'k=5'!$A$2:$E$154,4,0)</f>
        <v>7</v>
      </c>
      <c r="L43" s="9">
        <f>VLOOKUP($A43,'k=6'!$A$2:$E$154,4,0)</f>
        <v>4</v>
      </c>
      <c r="N43" s="13">
        <f t="shared" si="1"/>
        <v>0.09821383178</v>
      </c>
      <c r="P43" s="26" t="s">
        <v>60</v>
      </c>
      <c r="Q43" s="13">
        <v>0.03724869161452792</v>
      </c>
    </row>
    <row r="44">
      <c r="A44" s="26" t="s">
        <v>179</v>
      </c>
      <c r="B44" s="13">
        <f>VLOOKUP($A44,'k=2'!$A$2:$E$154,5,0)</f>
        <v>0.08341176471</v>
      </c>
      <c r="C44" s="13">
        <f>VLOOKUP($A44,'k=3'!$A$2:$E$154,5,0)</f>
        <v>0.127210084</v>
      </c>
      <c r="D44" s="13">
        <f>VLOOKUP($A44,'k=4'!$A$2:$E$154,5,0)</f>
        <v>0.2430756303</v>
      </c>
      <c r="E44" s="13">
        <f>VLOOKUP($A44,'k=5'!$A$2:$E$154,5,0)</f>
        <v>0.2828235294</v>
      </c>
      <c r="F44" s="13">
        <f>VLOOKUP($A44,'k=6'!$A$2:$E$154,5,0)</f>
        <v>0.3530252101</v>
      </c>
      <c r="H44" s="9">
        <f>VLOOKUP($A44,'k=2'!$A$2:$E$154,4,0)</f>
        <v>220</v>
      </c>
      <c r="I44" s="9">
        <f>VLOOKUP($A44,'k=3'!$A$2:$E$154,4,0)</f>
        <v>79</v>
      </c>
      <c r="J44" s="9">
        <f>VLOOKUP($A44,'k=4'!$A$2:$E$154,4,0)</f>
        <v>25</v>
      </c>
      <c r="K44" s="9">
        <f>VLOOKUP($A44,'k=5'!$A$2:$E$154,4,0)</f>
        <v>9</v>
      </c>
      <c r="L44" s="9">
        <f>VLOOKUP($A44,'k=6'!$A$2:$E$154,4,0)</f>
        <v>3</v>
      </c>
      <c r="N44" s="13">
        <f t="shared" si="1"/>
        <v>0.1133379852</v>
      </c>
      <c r="P44" s="26" t="s">
        <v>44</v>
      </c>
      <c r="Q44" s="13">
        <v>0.038285767685263004</v>
      </c>
    </row>
    <row r="45">
      <c r="A45" s="26" t="s">
        <v>26</v>
      </c>
      <c r="B45" s="13">
        <f>VLOOKUP($A45,'k=2'!$A$2:$E$154,5,0)</f>
        <v>0.006326530612</v>
      </c>
      <c r="C45" s="13">
        <f>VLOOKUP($A45,'k=3'!$A$2:$E$154,5,0)</f>
        <v>0.01424489796</v>
      </c>
      <c r="D45" s="13">
        <f>VLOOKUP($A45,'k=4'!$A$2:$E$154,5,0)</f>
        <v>0.01218367347</v>
      </c>
      <c r="E45" s="13">
        <f>VLOOKUP($A45,'k=5'!$A$2:$E$154,5,0)</f>
        <v>0.0102244898</v>
      </c>
      <c r="F45" s="13">
        <f>VLOOKUP($A45,'k=6'!$A$2:$E$154,5,0)</f>
        <v>0.1529387755</v>
      </c>
      <c r="H45" s="9">
        <f>VLOOKUP($A45,'k=2'!$A$2:$E$154,4,0)</f>
        <v>149</v>
      </c>
      <c r="I45" s="9">
        <f>VLOOKUP($A45,'k=3'!$A$2:$E$154,4,0)</f>
        <v>58</v>
      </c>
      <c r="J45" s="9">
        <f>VLOOKUP($A45,'k=4'!$A$2:$E$154,4,0)</f>
        <v>26</v>
      </c>
      <c r="K45" s="9">
        <f>VLOOKUP($A45,'k=5'!$A$2:$E$154,4,0)</f>
        <v>13</v>
      </c>
      <c r="L45" s="9">
        <f>VLOOKUP($A45,'k=6'!$A$2:$E$154,4,0)</f>
        <v>3</v>
      </c>
      <c r="N45" s="13">
        <f t="shared" si="1"/>
        <v>0.0107524793</v>
      </c>
      <c r="P45" s="26" t="s">
        <v>79</v>
      </c>
      <c r="Q45" s="13">
        <v>0.041043990653256014</v>
      </c>
    </row>
    <row r="46">
      <c r="A46" s="26" t="s">
        <v>176</v>
      </c>
      <c r="B46" s="13">
        <f>VLOOKUP($A46,'k=2'!$A$2:$E$154,5,0)</f>
        <v>0.07589565217</v>
      </c>
      <c r="C46" s="13">
        <f>VLOOKUP($A46,'k=3'!$A$2:$E$154,5,0)</f>
        <v>0.1496</v>
      </c>
      <c r="D46" s="13">
        <f>VLOOKUP($A46,'k=4'!$A$2:$E$154,5,0)</f>
        <v>0.4322086957</v>
      </c>
      <c r="E46" s="13">
        <f>VLOOKUP($A46,'k=5'!$A$2:$E$154,5,0)</f>
        <v>0.5374608696</v>
      </c>
      <c r="F46" s="13">
        <f>VLOOKUP($A46,'k=6'!$A$2:$E$154,5,0)</f>
        <v>0.6930608696</v>
      </c>
      <c r="H46" s="9">
        <f>VLOOKUP($A46,'k=2'!$A$2:$E$154,4,0)</f>
        <v>251</v>
      </c>
      <c r="I46" s="9">
        <f>VLOOKUP($A46,'k=3'!$A$2:$E$154,4,0)</f>
        <v>97</v>
      </c>
      <c r="J46" s="9">
        <f>VLOOKUP($A46,'k=4'!$A$2:$E$154,4,0)</f>
        <v>28</v>
      </c>
      <c r="K46" s="9">
        <f>VLOOKUP($A46,'k=5'!$A$2:$E$154,4,0)</f>
        <v>9</v>
      </c>
      <c r="L46" s="9">
        <f>VLOOKUP($A46,'k=6'!$A$2:$E$154,4,0)</f>
        <v>2</v>
      </c>
      <c r="N46" s="13">
        <f t="shared" si="1"/>
        <v>0.134072666</v>
      </c>
      <c r="P46" s="26" t="s">
        <v>71</v>
      </c>
      <c r="Q46" s="13">
        <v>0.041460724759111785</v>
      </c>
    </row>
    <row r="47">
      <c r="A47" s="26" t="s">
        <v>164</v>
      </c>
      <c r="B47" s="13">
        <f>VLOOKUP($A47,'k=2'!$A$2:$E$154,5,0)</f>
        <v>0.06326415094</v>
      </c>
      <c r="C47" s="13">
        <f>VLOOKUP($A47,'k=3'!$A$2:$E$154,5,0)</f>
        <v>0.1129811321</v>
      </c>
      <c r="D47" s="13">
        <f>VLOOKUP($A47,'k=4'!$A$2:$E$154,5,0)</f>
        <v>0.2072641509</v>
      </c>
      <c r="E47" s="13">
        <f>VLOOKUP($A47,'k=5'!$A$2:$E$154,5,0)</f>
        <v>0.3373018868</v>
      </c>
      <c r="F47" s="13">
        <f>VLOOKUP($A47,'k=6'!$A$2:$E$154,5,0)</f>
        <v>0.3867924528</v>
      </c>
      <c r="H47" s="9">
        <f>VLOOKUP($A47,'k=2'!$A$2:$E$154,4,0)</f>
        <v>277</v>
      </c>
      <c r="I47" s="9">
        <f>VLOOKUP($A47,'k=3'!$A$2:$E$154,4,0)</f>
        <v>115</v>
      </c>
      <c r="J47" s="9">
        <f>VLOOKUP($A47,'k=4'!$A$2:$E$154,4,0)</f>
        <v>45</v>
      </c>
      <c r="K47" s="9">
        <f>VLOOKUP($A47,'k=5'!$A$2:$E$154,4,0)</f>
        <v>16</v>
      </c>
      <c r="L47" s="9">
        <f>VLOOKUP($A47,'k=6'!$A$2:$E$154,4,0)</f>
        <v>6</v>
      </c>
      <c r="N47" s="13">
        <f t="shared" si="1"/>
        <v>0.103619764</v>
      </c>
      <c r="P47" s="26" t="s">
        <v>109</v>
      </c>
      <c r="Q47" s="13">
        <v>0.042523689516129</v>
      </c>
    </row>
    <row r="48">
      <c r="A48" s="26" t="s">
        <v>168</v>
      </c>
      <c r="B48" s="13">
        <f>VLOOKUP($A48,'k=2'!$A$2:$E$154,5,0)</f>
        <v>0.06563380282</v>
      </c>
      <c r="C48" s="13">
        <f>VLOOKUP($A48,'k=3'!$A$2:$E$154,5,0)</f>
        <v>0.1236901408</v>
      </c>
      <c r="D48" s="13">
        <f>VLOOKUP($A48,'k=4'!$A$2:$E$154,5,0)</f>
        <v>0.2756901408</v>
      </c>
      <c r="E48" s="13">
        <f>VLOOKUP($A48,'k=5'!$A$2:$E$154,5,0)</f>
        <v>0.3982535211</v>
      </c>
      <c r="F48" s="13">
        <f>VLOOKUP($A48,'k=6'!$A$2:$E$154,5,0)</f>
        <v>0.5041971831</v>
      </c>
      <c r="H48" s="9">
        <f>VLOOKUP($A48,'k=2'!$A$2:$E$154,4,0)</f>
        <v>286</v>
      </c>
      <c r="I48" s="9">
        <f>VLOOKUP($A48,'k=3'!$A$2:$E$154,4,0)</f>
        <v>133</v>
      </c>
      <c r="J48" s="9">
        <f>VLOOKUP($A48,'k=4'!$A$2:$E$154,4,0)</f>
        <v>55</v>
      </c>
      <c r="K48" s="9">
        <f>VLOOKUP($A48,'k=5'!$A$2:$E$154,4,0)</f>
        <v>22</v>
      </c>
      <c r="L48" s="9">
        <f>VLOOKUP($A48,'k=6'!$A$2:$E$154,4,0)</f>
        <v>9</v>
      </c>
      <c r="N48" s="13">
        <f t="shared" si="1"/>
        <v>0.1261076558</v>
      </c>
      <c r="P48" s="26" t="s">
        <v>124</v>
      </c>
      <c r="Q48" s="13">
        <v>0.04295624550169995</v>
      </c>
    </row>
    <row r="49">
      <c r="A49" s="26" t="s">
        <v>72</v>
      </c>
      <c r="B49" s="13">
        <f>VLOOKUP($A49,'k=2'!$A$2:$E$154,5,0)</f>
        <v>0.01988461538</v>
      </c>
      <c r="C49" s="13">
        <f>VLOOKUP($A49,'k=3'!$A$2:$E$154,5,0)</f>
        <v>0.01698076923</v>
      </c>
      <c r="D49" s="13">
        <f>VLOOKUP($A49,'k=4'!$A$2:$E$154,5,0)</f>
        <v>0.03053846154</v>
      </c>
      <c r="E49" s="13">
        <f>VLOOKUP($A49,'k=5'!$A$2:$E$154,5,0)</f>
        <v>0.05307692308</v>
      </c>
      <c r="F49" s="13">
        <f>VLOOKUP($A49,'k=6'!$A$2:$E$154,5,0)</f>
        <v>0.06188461538</v>
      </c>
      <c r="H49" s="9">
        <f>VLOOKUP($A49,'k=2'!$A$2:$E$154,4,0)</f>
        <v>325</v>
      </c>
      <c r="I49" s="9">
        <f>VLOOKUP($A49,'k=3'!$A$2:$E$154,4,0)</f>
        <v>157</v>
      </c>
      <c r="J49" s="9">
        <f>VLOOKUP($A49,'k=4'!$A$2:$E$154,4,0)</f>
        <v>74</v>
      </c>
      <c r="K49" s="9">
        <f>VLOOKUP($A49,'k=5'!$A$2:$E$154,4,0)</f>
        <v>34</v>
      </c>
      <c r="L49" s="9">
        <f>VLOOKUP($A49,'k=6'!$A$2:$E$154,4,0)</f>
        <v>17</v>
      </c>
      <c r="N49" s="13">
        <f t="shared" si="1"/>
        <v>0.02346784311</v>
      </c>
      <c r="P49" s="26" t="s">
        <v>90</v>
      </c>
      <c r="Q49" s="13">
        <v>0.04301844746162924</v>
      </c>
    </row>
    <row r="50">
      <c r="A50" s="26" t="s">
        <v>60</v>
      </c>
      <c r="B50" s="13">
        <f>VLOOKUP($A50,'k=2'!$A$2:$E$154,5,0)</f>
        <v>0.01620930233</v>
      </c>
      <c r="C50" s="13">
        <f>VLOOKUP($A50,'k=3'!$A$2:$E$154,5,0)</f>
        <v>0.04993023256</v>
      </c>
      <c r="D50" s="13">
        <f>VLOOKUP($A50,'k=4'!$A$2:$E$154,5,0)</f>
        <v>0.0831627907</v>
      </c>
      <c r="E50" s="13">
        <f>VLOOKUP($A50,'k=5'!$A$2:$E$154,5,0)</f>
        <v>0.07460465116</v>
      </c>
      <c r="F50" s="13">
        <f>VLOOKUP($A50,'k=6'!$A$2:$E$154,5,0)</f>
        <v>0.06255813953</v>
      </c>
      <c r="H50" s="9">
        <f>VLOOKUP($A50,'k=2'!$A$2:$E$154,4,0)</f>
        <v>322</v>
      </c>
      <c r="I50" s="9">
        <f>VLOOKUP($A50,'k=3'!$A$2:$E$154,4,0)</f>
        <v>147</v>
      </c>
      <c r="J50" s="9">
        <f>VLOOKUP($A50,'k=4'!$A$2:$E$154,4,0)</f>
        <v>68</v>
      </c>
      <c r="K50" s="9">
        <f>VLOOKUP($A50,'k=5'!$A$2:$E$154,4,0)</f>
        <v>35</v>
      </c>
      <c r="L50" s="9">
        <f>VLOOKUP($A50,'k=6'!$A$2:$E$154,4,0)</f>
        <v>19</v>
      </c>
      <c r="N50" s="13">
        <f t="shared" si="1"/>
        <v>0.03724869161</v>
      </c>
      <c r="P50" s="26" t="s">
        <v>69</v>
      </c>
      <c r="Q50" s="13">
        <v>0.04316048696082057</v>
      </c>
    </row>
    <row r="51">
      <c r="A51" s="26" t="s">
        <v>84</v>
      </c>
      <c r="B51" s="13">
        <f>VLOOKUP($A51,'k=2'!$A$2:$E$154,5,0)</f>
        <v>0.02596774194</v>
      </c>
      <c r="C51" s="13">
        <f>VLOOKUP($A51,'k=3'!$A$2:$E$154,5,0)</f>
        <v>0.03648387097</v>
      </c>
      <c r="D51" s="13">
        <f>VLOOKUP($A51,'k=4'!$A$2:$E$154,5,0)</f>
        <v>0.02922580645</v>
      </c>
      <c r="E51" s="13">
        <f>VLOOKUP($A51,'k=5'!$A$2:$E$154,5,0)</f>
        <v>0.0405</v>
      </c>
      <c r="F51" s="13">
        <f>VLOOKUP($A51,'k=6'!$A$2:$E$154,5,0)</f>
        <v>0.07517741935</v>
      </c>
      <c r="H51" s="9">
        <f>VLOOKUP($A51,'k=2'!$A$2:$E$154,4,0)</f>
        <v>288</v>
      </c>
      <c r="I51" s="9">
        <f>VLOOKUP($A51,'k=3'!$A$2:$E$154,4,0)</f>
        <v>129</v>
      </c>
      <c r="J51" s="9">
        <f>VLOOKUP($A51,'k=4'!$A$2:$E$154,4,0)</f>
        <v>61</v>
      </c>
      <c r="K51" s="9">
        <f>VLOOKUP($A51,'k=5'!$A$2:$E$154,4,0)</f>
        <v>28</v>
      </c>
      <c r="L51" s="9">
        <f>VLOOKUP($A51,'k=6'!$A$2:$E$154,4,0)</f>
        <v>12</v>
      </c>
      <c r="N51" s="13">
        <f t="shared" si="1"/>
        <v>0.03089581517</v>
      </c>
      <c r="P51" s="26" t="s">
        <v>106</v>
      </c>
      <c r="Q51" s="13">
        <v>0.04362913486005086</v>
      </c>
    </row>
    <row r="52">
      <c r="A52" s="26" t="s">
        <v>42</v>
      </c>
      <c r="B52" s="13">
        <f>VLOOKUP($A52,'k=2'!$A$2:$E$154,5,0)</f>
        <v>0.01123880597</v>
      </c>
      <c r="C52" s="13">
        <f>VLOOKUP($A52,'k=3'!$A$2:$E$154,5,0)</f>
        <v>0.008746268657</v>
      </c>
      <c r="D52" s="13">
        <f>VLOOKUP($A52,'k=4'!$A$2:$E$154,5,0)</f>
        <v>0.01928358209</v>
      </c>
      <c r="E52" s="13">
        <f>VLOOKUP($A52,'k=5'!$A$2:$E$154,5,0)</f>
        <v>0.03104477612</v>
      </c>
      <c r="F52" s="13">
        <f>VLOOKUP($A52,'k=6'!$A$2:$E$154,5,0)</f>
        <v>0.1889402985</v>
      </c>
      <c r="H52" s="9">
        <f>VLOOKUP($A52,'k=2'!$A$2:$E$154,4,0)</f>
        <v>212</v>
      </c>
      <c r="I52" s="9">
        <f>VLOOKUP($A52,'k=3'!$A$2:$E$154,4,0)</f>
        <v>97</v>
      </c>
      <c r="J52" s="9">
        <f>VLOOKUP($A52,'k=4'!$A$2:$E$154,4,0)</f>
        <v>43</v>
      </c>
      <c r="K52" s="9">
        <f>VLOOKUP($A52,'k=5'!$A$2:$E$154,4,0)</f>
        <v>19</v>
      </c>
      <c r="L52" s="9">
        <f>VLOOKUP($A52,'k=6'!$A$2:$E$154,4,0)</f>
        <v>6</v>
      </c>
      <c r="N52" s="13">
        <f t="shared" si="1"/>
        <v>0.01534138327</v>
      </c>
      <c r="P52" s="26" t="s">
        <v>104</v>
      </c>
      <c r="Q52" s="13">
        <v>0.04433460810921942</v>
      </c>
    </row>
    <row r="53">
      <c r="A53" s="26" t="s">
        <v>150</v>
      </c>
      <c r="B53" s="13">
        <f>VLOOKUP($A53,'k=2'!$A$2:$E$154,5,0)</f>
        <v>0.05348148148</v>
      </c>
      <c r="C53" s="13">
        <f>VLOOKUP($A53,'k=3'!$A$2:$E$154,5,0)</f>
        <v>0.05644444444</v>
      </c>
      <c r="D53" s="13">
        <f>VLOOKUP($A53,'k=4'!$A$2:$E$154,5,0)</f>
        <v>0.07590123457</v>
      </c>
      <c r="E53" s="13">
        <f>VLOOKUP($A53,'k=5'!$A$2:$E$154,5,0)</f>
        <v>0.1466419753</v>
      </c>
      <c r="F53" s="13">
        <f>VLOOKUP($A53,'k=6'!$A$2:$E$154,5,0)</f>
        <v>0.1107160494</v>
      </c>
      <c r="H53" s="9">
        <f>VLOOKUP($A53,'k=2'!$A$2:$E$154,4,0)</f>
        <v>119</v>
      </c>
      <c r="I53" s="9">
        <f>VLOOKUP($A53,'k=3'!$A$2:$E$154,4,0)</f>
        <v>47</v>
      </c>
      <c r="J53" s="9">
        <f>VLOOKUP($A53,'k=4'!$A$2:$E$154,4,0)</f>
        <v>19</v>
      </c>
      <c r="K53" s="9">
        <f>VLOOKUP($A53,'k=5'!$A$2:$E$154,4,0)</f>
        <v>7</v>
      </c>
      <c r="L53" s="9">
        <f>VLOOKUP($A53,'k=6'!$A$2:$E$154,4,0)</f>
        <v>4</v>
      </c>
      <c r="N53" s="13">
        <f t="shared" si="1"/>
        <v>0.06086054422</v>
      </c>
      <c r="P53" s="26" t="s">
        <v>64</v>
      </c>
      <c r="Q53" s="13">
        <v>0.04481250762128726</v>
      </c>
    </row>
    <row r="54">
      <c r="A54" s="26" t="s">
        <v>83</v>
      </c>
      <c r="B54" s="13">
        <f>VLOOKUP($A54,'k=2'!$A$2:$E$154,5,0)</f>
        <v>0.025</v>
      </c>
      <c r="C54" s="13">
        <f>VLOOKUP($A54,'k=3'!$A$2:$E$154,5,0)</f>
        <v>0.04909375</v>
      </c>
      <c r="D54" s="13">
        <f>VLOOKUP($A54,'k=4'!$A$2:$E$154,5,0)</f>
        <v>0.08625</v>
      </c>
      <c r="E54" s="13">
        <f>VLOOKUP($A54,'k=5'!$A$2:$E$154,5,0)</f>
        <v>0.203265625</v>
      </c>
      <c r="F54" s="13">
        <f>VLOOKUP($A54,'k=6'!$A$2:$E$154,5,0)</f>
        <v>0.2339375</v>
      </c>
      <c r="H54" s="9">
        <f>VLOOKUP($A54,'k=2'!$A$2:$E$154,4,0)</f>
        <v>210</v>
      </c>
      <c r="I54" s="9">
        <f>VLOOKUP($A54,'k=3'!$A$2:$E$154,4,0)</f>
        <v>88</v>
      </c>
      <c r="J54" s="9">
        <f>VLOOKUP($A54,'k=4'!$A$2:$E$154,4,0)</f>
        <v>36</v>
      </c>
      <c r="K54" s="9">
        <f>VLOOKUP($A54,'k=5'!$A$2:$E$154,4,0)</f>
        <v>12</v>
      </c>
      <c r="L54" s="9">
        <f>VLOOKUP($A54,'k=6'!$A$2:$E$154,4,0)</f>
        <v>5</v>
      </c>
      <c r="N54" s="13">
        <f t="shared" si="1"/>
        <v>0.04639351852</v>
      </c>
      <c r="P54" s="26" t="s">
        <v>83</v>
      </c>
      <c r="Q54" s="13">
        <v>0.04639351851851851</v>
      </c>
    </row>
    <row r="55">
      <c r="A55" s="26" t="s">
        <v>94</v>
      </c>
      <c r="B55" s="13">
        <f>VLOOKUP($A55,'k=2'!$A$2:$E$154,5,0)</f>
        <v>0.02961290323</v>
      </c>
      <c r="C55" s="13">
        <f>VLOOKUP($A55,'k=3'!$A$2:$E$154,5,0)</f>
        <v>0.05840860215</v>
      </c>
      <c r="D55" s="13">
        <f>VLOOKUP($A55,'k=4'!$A$2:$E$154,5,0)</f>
        <v>0.08929032258</v>
      </c>
      <c r="E55" s="13">
        <f>VLOOKUP($A55,'k=5'!$A$2:$E$154,5,0)</f>
        <v>0.1565806452</v>
      </c>
      <c r="F55" s="13">
        <f>VLOOKUP($A55,'k=6'!$A$2:$E$154,5,0)</f>
        <v>0.104516129</v>
      </c>
      <c r="H55" s="9">
        <f>VLOOKUP($A55,'k=2'!$A$2:$E$154,4,0)</f>
        <v>124</v>
      </c>
      <c r="I55" s="9">
        <f>VLOOKUP($A55,'k=3'!$A$2:$E$154,4,0)</f>
        <v>46</v>
      </c>
      <c r="J55" s="9">
        <f>VLOOKUP($A55,'k=4'!$A$2:$E$154,4,0)</f>
        <v>17</v>
      </c>
      <c r="K55" s="9">
        <f>VLOOKUP($A55,'k=5'!$A$2:$E$154,4,0)</f>
        <v>6</v>
      </c>
      <c r="L55" s="9">
        <f>VLOOKUP($A55,'k=6'!$A$2:$E$154,4,0)</f>
        <v>3</v>
      </c>
      <c r="N55" s="13">
        <f t="shared" si="1"/>
        <v>0.04658042572</v>
      </c>
      <c r="P55" s="26" t="s">
        <v>94</v>
      </c>
      <c r="Q55" s="13">
        <v>0.04658042571867451</v>
      </c>
    </row>
    <row r="56">
      <c r="A56" s="26" t="s">
        <v>106</v>
      </c>
      <c r="B56" s="13">
        <f>VLOOKUP($A56,'k=2'!$A$2:$E$154,5,0)</f>
        <v>0.0353125</v>
      </c>
      <c r="C56" s="13">
        <f>VLOOKUP($A56,'k=3'!$A$2:$E$154,5,0)</f>
        <v>0.05004166667</v>
      </c>
      <c r="D56" s="13">
        <f>VLOOKUP($A56,'k=4'!$A$2:$E$154,5,0)</f>
        <v>0.04910416667</v>
      </c>
      <c r="E56" s="13">
        <f>VLOOKUP($A56,'k=5'!$A$2:$E$154,5,0)</f>
        <v>0.05529166667</v>
      </c>
      <c r="F56" s="13">
        <f>VLOOKUP($A56,'k=6'!$A$2:$E$154,5,0)</f>
        <v>0.0606875</v>
      </c>
      <c r="H56" s="9">
        <f>VLOOKUP($A56,'k=2'!$A$2:$E$154,4,0)</f>
        <v>317</v>
      </c>
      <c r="I56" s="9">
        <f>VLOOKUP($A56,'k=3'!$A$2:$E$154,4,0)</f>
        <v>168</v>
      </c>
      <c r="J56" s="9">
        <f>VLOOKUP($A56,'k=4'!$A$2:$E$154,4,0)</f>
        <v>92</v>
      </c>
      <c r="K56" s="9">
        <f>VLOOKUP($A56,'k=5'!$A$2:$E$154,4,0)</f>
        <v>51</v>
      </c>
      <c r="L56" s="9">
        <f>VLOOKUP($A56,'k=6'!$A$2:$E$154,4,0)</f>
        <v>27</v>
      </c>
      <c r="N56" s="13">
        <f t="shared" si="1"/>
        <v>0.04362913486</v>
      </c>
      <c r="P56" s="26" t="s">
        <v>86</v>
      </c>
      <c r="Q56" s="13">
        <v>0.047918974184203704</v>
      </c>
    </row>
    <row r="57">
      <c r="A57" s="26" t="s">
        <v>135</v>
      </c>
      <c r="B57" s="13">
        <f>VLOOKUP($A57,'k=2'!$A$2:$E$154,5,0)</f>
        <v>0.04655357143</v>
      </c>
      <c r="C57" s="13">
        <f>VLOOKUP($A57,'k=3'!$A$2:$E$154,5,0)</f>
        <v>0.1369464286</v>
      </c>
      <c r="D57" s="13">
        <f>VLOOKUP($A57,'k=4'!$A$2:$E$154,5,0)</f>
        <v>0.09533928571</v>
      </c>
      <c r="E57" s="13">
        <f>VLOOKUP($A57,'k=5'!$A$2:$E$154,5,0)</f>
        <v>0.1499285714</v>
      </c>
      <c r="F57" s="13">
        <f>VLOOKUP($A57,'k=6'!$A$2:$E$154,5,0)</f>
        <v>0.1415357143</v>
      </c>
      <c r="H57" s="9">
        <f>VLOOKUP($A57,'k=2'!$A$2:$E$154,4,0)</f>
        <v>231</v>
      </c>
      <c r="I57" s="9">
        <f>VLOOKUP($A57,'k=3'!$A$2:$E$154,4,0)</f>
        <v>85</v>
      </c>
      <c r="J57" s="9">
        <f>VLOOKUP($A57,'k=4'!$A$2:$E$154,4,0)</f>
        <v>38</v>
      </c>
      <c r="K57" s="9">
        <f>VLOOKUP($A57,'k=5'!$A$2:$E$154,4,0)</f>
        <v>15</v>
      </c>
      <c r="L57" s="9">
        <f>VLOOKUP($A57,'k=6'!$A$2:$E$154,4,0)</f>
        <v>7</v>
      </c>
      <c r="N57" s="13">
        <f t="shared" si="1"/>
        <v>0.07781088526</v>
      </c>
      <c r="P57" s="26" t="s">
        <v>102</v>
      </c>
      <c r="Q57" s="13">
        <v>0.04938705008202244</v>
      </c>
    </row>
    <row r="58">
      <c r="A58" s="26" t="s">
        <v>181</v>
      </c>
      <c r="B58" s="13">
        <f>VLOOKUP($A58,'k=2'!$A$2:$E$154,5,0)</f>
        <v>0.08664761905</v>
      </c>
      <c r="C58" s="13">
        <f>VLOOKUP($A58,'k=3'!$A$2:$E$154,5,0)</f>
        <v>0.157752381</v>
      </c>
      <c r="D58" s="13">
        <f>VLOOKUP($A58,'k=4'!$A$2:$E$154,5,0)</f>
        <v>0.1764571429</v>
      </c>
      <c r="E58" s="13">
        <f>VLOOKUP($A58,'k=5'!$A$2:$E$154,5,0)</f>
        <v>0.1833333333</v>
      </c>
      <c r="F58" s="13">
        <f>VLOOKUP($A58,'k=6'!$A$2:$E$154,5,0)</f>
        <v>0.3196571429</v>
      </c>
      <c r="H58" s="9">
        <f>VLOOKUP($A58,'k=2'!$A$2:$E$154,4,0)</f>
        <v>379</v>
      </c>
      <c r="I58" s="9">
        <f>VLOOKUP($A58,'k=3'!$A$2:$E$154,4,0)</f>
        <v>164</v>
      </c>
      <c r="J58" s="9">
        <f>VLOOKUP($A58,'k=4'!$A$2:$E$154,4,0)</f>
        <v>75</v>
      </c>
      <c r="K58" s="9">
        <f>VLOOKUP($A58,'k=5'!$A$2:$E$154,4,0)</f>
        <v>35</v>
      </c>
      <c r="L58" s="9">
        <f>VLOOKUP($A58,'k=6'!$A$2:$E$154,4,0)</f>
        <v>13</v>
      </c>
      <c r="N58" s="13">
        <f t="shared" si="1"/>
        <v>0.1238998999</v>
      </c>
      <c r="P58" s="26" t="s">
        <v>58</v>
      </c>
      <c r="Q58" s="13">
        <v>0.04985372732115433</v>
      </c>
    </row>
    <row r="59">
      <c r="A59" s="26" t="s">
        <v>114</v>
      </c>
      <c r="B59" s="13">
        <f>VLOOKUP($A59,'k=2'!$A$2:$E$154,5,0)</f>
        <v>0.03725</v>
      </c>
      <c r="C59" s="13">
        <f>VLOOKUP($A59,'k=3'!$A$2:$E$154,5,0)</f>
        <v>0.08415625</v>
      </c>
      <c r="D59" s="13">
        <f>VLOOKUP($A59,'k=4'!$A$2:$E$154,5,0)</f>
        <v>0.11871875</v>
      </c>
      <c r="E59" s="13">
        <f>VLOOKUP($A59,'k=5'!$A$2:$E$154,5,0)</f>
        <v>0.36140625</v>
      </c>
      <c r="F59" s="13">
        <f>VLOOKUP($A59,'k=6'!$A$2:$E$154,5,0)</f>
        <v>0.61175</v>
      </c>
      <c r="H59" s="9">
        <f>VLOOKUP($A59,'k=2'!$A$2:$E$154,4,0)</f>
        <v>272</v>
      </c>
      <c r="I59" s="9">
        <f>VLOOKUP($A59,'k=3'!$A$2:$E$154,4,0)</f>
        <v>102</v>
      </c>
      <c r="J59" s="9">
        <f>VLOOKUP($A59,'k=4'!$A$2:$E$154,4,0)</f>
        <v>39</v>
      </c>
      <c r="K59" s="9">
        <f>VLOOKUP($A59,'k=5'!$A$2:$E$154,4,0)</f>
        <v>10</v>
      </c>
      <c r="L59" s="9">
        <f>VLOOKUP($A59,'k=6'!$A$2:$E$154,4,0)</f>
        <v>2</v>
      </c>
      <c r="N59" s="13">
        <f t="shared" si="1"/>
        <v>0.06631419118</v>
      </c>
      <c r="P59" s="26" t="s">
        <v>48</v>
      </c>
      <c r="Q59" s="13">
        <v>0.05029102521008386</v>
      </c>
    </row>
    <row r="60">
      <c r="A60" s="26" t="s">
        <v>152</v>
      </c>
      <c r="B60" s="13">
        <f>VLOOKUP($A60,'k=2'!$A$2:$E$154,5,0)</f>
        <v>0.05413186813</v>
      </c>
      <c r="C60" s="13">
        <f>VLOOKUP($A60,'k=3'!$A$2:$E$154,5,0)</f>
        <v>0.1261758242</v>
      </c>
      <c r="D60" s="13">
        <f>VLOOKUP($A60,'k=4'!$A$2:$E$154,5,0)</f>
        <v>0.135978022</v>
      </c>
      <c r="E60" s="13">
        <f>VLOOKUP($A60,'k=5'!$A$2:$E$154,5,0)</f>
        <v>0.2735604396</v>
      </c>
      <c r="F60" s="13">
        <f>VLOOKUP($A60,'k=6'!$A$2:$E$154,5,0)</f>
        <v>1</v>
      </c>
      <c r="H60" s="9">
        <f>VLOOKUP($A60,'k=2'!$A$2:$E$154,4,0)</f>
        <v>149</v>
      </c>
      <c r="I60" s="9">
        <f>VLOOKUP($A60,'k=3'!$A$2:$E$154,4,0)</f>
        <v>52</v>
      </c>
      <c r="J60" s="9">
        <f>VLOOKUP($A60,'k=4'!$A$2:$E$154,4,0)</f>
        <v>20</v>
      </c>
      <c r="K60" s="9">
        <f>VLOOKUP($A60,'k=5'!$A$2:$E$154,4,0)</f>
        <v>6</v>
      </c>
      <c r="L60" s="9">
        <f>VLOOKUP($A60,'k=6'!$A$2:$E$154,4,0)</f>
        <v>0</v>
      </c>
      <c r="N60" s="13">
        <f t="shared" si="1"/>
        <v>0.08364631844</v>
      </c>
      <c r="P60" s="26" t="s">
        <v>70</v>
      </c>
      <c r="Q60" s="13">
        <v>0.0517762215245913</v>
      </c>
    </row>
    <row r="61">
      <c r="A61" s="26" t="s">
        <v>180</v>
      </c>
      <c r="B61" s="13">
        <f>VLOOKUP($A61,'k=2'!$A$2:$E$154,5,0)</f>
        <v>0.08648421053</v>
      </c>
      <c r="C61" s="13">
        <f>VLOOKUP($A61,'k=3'!$A$2:$E$154,5,0)</f>
        <v>0.07113684211</v>
      </c>
      <c r="D61" s="13">
        <f>VLOOKUP($A61,'k=4'!$A$2:$E$154,5,0)</f>
        <v>0.2976842105</v>
      </c>
      <c r="E61" s="13">
        <f>VLOOKUP($A61,'k=5'!$A$2:$E$154,5,0)</f>
        <v>0.6033263158</v>
      </c>
      <c r="F61" s="13">
        <f>VLOOKUP($A61,'k=6'!$A$2:$E$154,5,0)</f>
        <v>0.4521263158</v>
      </c>
      <c r="H61" s="9">
        <f>VLOOKUP($A61,'k=2'!$A$2:$E$154,4,0)</f>
        <v>105</v>
      </c>
      <c r="I61" s="9">
        <f>VLOOKUP($A61,'k=3'!$A$2:$E$154,4,0)</f>
        <v>41</v>
      </c>
      <c r="J61" s="9">
        <f>VLOOKUP($A61,'k=4'!$A$2:$E$154,4,0)</f>
        <v>11</v>
      </c>
      <c r="K61" s="9">
        <f>VLOOKUP($A61,'k=5'!$A$2:$E$154,4,0)</f>
        <v>2</v>
      </c>
      <c r="L61" s="9">
        <f>VLOOKUP($A61,'k=6'!$A$2:$E$154,4,0)</f>
        <v>1</v>
      </c>
      <c r="N61" s="13">
        <f t="shared" si="1"/>
        <v>0.1058172368</v>
      </c>
      <c r="P61" s="26" t="s">
        <v>99</v>
      </c>
      <c r="Q61" s="13">
        <v>0.051910245821042256</v>
      </c>
    </row>
    <row r="62">
      <c r="A62" s="26" t="s">
        <v>149</v>
      </c>
      <c r="B62" s="13">
        <f>VLOOKUP($A62,'k=2'!$A$2:$E$154,5,0)</f>
        <v>0.05220779221</v>
      </c>
      <c r="C62" s="13">
        <f>VLOOKUP($A62,'k=3'!$A$2:$E$154,5,0)</f>
        <v>0.0687012987</v>
      </c>
      <c r="D62" s="13">
        <f>VLOOKUP($A62,'k=4'!$A$2:$E$154,5,0)</f>
        <v>0.1237662338</v>
      </c>
      <c r="E62" s="13">
        <f>VLOOKUP($A62,'k=5'!$A$2:$E$154,5,0)</f>
        <v>0.3727532468</v>
      </c>
      <c r="F62" s="13">
        <f>VLOOKUP($A62,'k=6'!$A$2:$E$154,5,0)</f>
        <v>0.5675324675</v>
      </c>
      <c r="H62" s="9">
        <f>VLOOKUP($A62,'k=2'!$A$2:$E$154,4,0)</f>
        <v>184</v>
      </c>
      <c r="I62" s="9">
        <f>VLOOKUP($A62,'k=3'!$A$2:$E$154,4,0)</f>
        <v>76</v>
      </c>
      <c r="J62" s="9">
        <f>VLOOKUP($A62,'k=4'!$A$2:$E$154,4,0)</f>
        <v>30</v>
      </c>
      <c r="K62" s="9">
        <f>VLOOKUP($A62,'k=5'!$A$2:$E$154,4,0)</f>
        <v>8</v>
      </c>
      <c r="L62" s="9">
        <f>VLOOKUP($A62,'k=6'!$A$2:$E$154,4,0)</f>
        <v>2</v>
      </c>
      <c r="N62" s="13">
        <f t="shared" si="1"/>
        <v>0.07552536797</v>
      </c>
      <c r="P62" s="26" t="s">
        <v>130</v>
      </c>
      <c r="Q62" s="13">
        <v>0.05225093209333498</v>
      </c>
    </row>
    <row r="63">
      <c r="A63" s="26" t="s">
        <v>14</v>
      </c>
      <c r="B63" s="13">
        <f>VLOOKUP($A63,'k=2'!$A$2:$E$154,5,0)</f>
        <v>0.001129032258</v>
      </c>
      <c r="C63" s="13">
        <f>VLOOKUP($A63,'k=3'!$A$2:$E$154,5,0)</f>
        <v>0.001112903226</v>
      </c>
      <c r="D63" s="13">
        <f>VLOOKUP($A63,'k=4'!$A$2:$E$154,5,0)</f>
        <v>0.01143548387</v>
      </c>
      <c r="E63" s="13">
        <f>VLOOKUP($A63,'k=5'!$A$2:$E$154,5,0)</f>
        <v>0.02912903226</v>
      </c>
      <c r="F63" s="13">
        <f>VLOOKUP($A63,'k=6'!$A$2:$E$154,5,0)</f>
        <v>0.09756451613</v>
      </c>
      <c r="H63" s="9">
        <f>VLOOKUP($A63,'k=2'!$A$2:$E$154,4,0)</f>
        <v>194</v>
      </c>
      <c r="I63" s="9">
        <f>VLOOKUP($A63,'k=3'!$A$2:$E$154,4,0)</f>
        <v>83</v>
      </c>
      <c r="J63" s="9">
        <f>VLOOKUP($A63,'k=4'!$A$2:$E$154,4,0)</f>
        <v>31</v>
      </c>
      <c r="K63" s="9">
        <f>VLOOKUP($A63,'k=5'!$A$2:$E$154,4,0)</f>
        <v>12</v>
      </c>
      <c r="L63" s="9">
        <f>VLOOKUP($A63,'k=6'!$A$2:$E$154,4,0)</f>
        <v>4</v>
      </c>
      <c r="N63" s="13">
        <f t="shared" si="1"/>
        <v>0.004338610115</v>
      </c>
      <c r="P63" s="26" t="s">
        <v>160</v>
      </c>
      <c r="Q63" s="13">
        <v>0.052408216203173014</v>
      </c>
    </row>
    <row r="64">
      <c r="A64" s="26" t="s">
        <v>104</v>
      </c>
      <c r="B64" s="13">
        <f>VLOOKUP($A64,'k=2'!$A$2:$E$154,5,0)</f>
        <v>0.03298412698</v>
      </c>
      <c r="C64" s="13">
        <f>VLOOKUP($A64,'k=3'!$A$2:$E$154,5,0)</f>
        <v>0.03301587302</v>
      </c>
      <c r="D64" s="13">
        <f>VLOOKUP($A64,'k=4'!$A$2:$E$154,5,0)</f>
        <v>0.07107936508</v>
      </c>
      <c r="E64" s="13">
        <f>VLOOKUP($A64,'k=5'!$A$2:$E$154,5,0)</f>
        <v>0.1954603175</v>
      </c>
      <c r="F64" s="13">
        <f>VLOOKUP($A64,'k=6'!$A$2:$E$154,5,0)</f>
        <v>0.3726190476</v>
      </c>
      <c r="H64" s="9">
        <f>VLOOKUP($A64,'k=2'!$A$2:$E$154,4,0)</f>
        <v>235</v>
      </c>
      <c r="I64" s="9">
        <f>VLOOKUP($A64,'k=3'!$A$2:$E$154,4,0)</f>
        <v>99</v>
      </c>
      <c r="J64" s="9">
        <f>VLOOKUP($A64,'k=4'!$A$2:$E$154,4,0)</f>
        <v>37</v>
      </c>
      <c r="K64" s="9">
        <f>VLOOKUP($A64,'k=5'!$A$2:$E$154,4,0)</f>
        <v>12</v>
      </c>
      <c r="L64" s="9">
        <f>VLOOKUP($A64,'k=6'!$A$2:$E$154,4,0)</f>
        <v>3</v>
      </c>
      <c r="N64" s="13">
        <f t="shared" si="1"/>
        <v>0.04433460811</v>
      </c>
      <c r="P64" s="26" t="s">
        <v>95</v>
      </c>
      <c r="Q64" s="13">
        <v>0.05266106384450428</v>
      </c>
    </row>
    <row r="65">
      <c r="A65" s="26" t="s">
        <v>103</v>
      </c>
      <c r="B65" s="13">
        <f>VLOOKUP($A65,'k=2'!$A$2:$E$154,5,0)</f>
        <v>0.032624</v>
      </c>
      <c r="C65" s="13">
        <f>VLOOKUP($A65,'k=3'!$A$2:$E$154,5,0)</f>
        <v>0.083152</v>
      </c>
      <c r="D65" s="13">
        <f>VLOOKUP($A65,'k=4'!$A$2:$E$154,5,0)</f>
        <v>0.077616</v>
      </c>
      <c r="E65" s="13">
        <f>VLOOKUP($A65,'k=5'!$A$2:$E$154,5,0)</f>
        <v>0.357456</v>
      </c>
      <c r="F65" s="13">
        <f>VLOOKUP($A65,'k=6'!$A$2:$E$154,5,0)</f>
        <v>0.271856</v>
      </c>
      <c r="H65" s="9">
        <f>VLOOKUP($A65,'k=2'!$A$2:$E$154,4,0)</f>
        <v>151</v>
      </c>
      <c r="I65" s="9">
        <f>VLOOKUP($A65,'k=3'!$A$2:$E$154,4,0)</f>
        <v>51</v>
      </c>
      <c r="J65" s="9">
        <f>VLOOKUP($A65,'k=4'!$A$2:$E$154,4,0)</f>
        <v>20</v>
      </c>
      <c r="K65" s="9">
        <f>VLOOKUP($A65,'k=5'!$A$2:$E$154,4,0)</f>
        <v>4</v>
      </c>
      <c r="L65" s="9">
        <f>VLOOKUP($A65,'k=6'!$A$2:$E$154,4,0)</f>
        <v>2</v>
      </c>
      <c r="N65" s="13">
        <f t="shared" si="1"/>
        <v>0.05567031579</v>
      </c>
      <c r="P65" s="26" t="s">
        <v>137</v>
      </c>
      <c r="Q65" s="13">
        <v>0.053780697563306216</v>
      </c>
    </row>
    <row r="66">
      <c r="A66" s="26" t="s">
        <v>78</v>
      </c>
      <c r="B66" s="13">
        <f>VLOOKUP($A66,'k=2'!$A$2:$E$154,5,0)</f>
        <v>0.02213592233</v>
      </c>
      <c r="C66" s="13">
        <f>VLOOKUP($A66,'k=3'!$A$2:$E$154,5,0)</f>
        <v>0.08458252427</v>
      </c>
      <c r="D66" s="13">
        <f>VLOOKUP($A66,'k=4'!$A$2:$E$154,5,0)</f>
        <v>0.2392621359</v>
      </c>
      <c r="E66" s="13">
        <f>VLOOKUP($A66,'k=5'!$A$2:$E$154,5,0)</f>
        <v>0.2610679612</v>
      </c>
      <c r="F66" s="13">
        <f>VLOOKUP($A66,'k=6'!$A$2:$E$154,5,0)</f>
        <v>0.4827961165</v>
      </c>
      <c r="H66" s="9">
        <f>VLOOKUP($A66,'k=2'!$A$2:$E$154,4,0)</f>
        <v>218</v>
      </c>
      <c r="I66" s="9">
        <f>VLOOKUP($A66,'k=3'!$A$2:$E$154,4,0)</f>
        <v>77</v>
      </c>
      <c r="J66" s="9">
        <f>VLOOKUP($A66,'k=4'!$A$2:$E$154,4,0)</f>
        <v>24</v>
      </c>
      <c r="K66" s="9">
        <f>VLOOKUP($A66,'k=5'!$A$2:$E$154,4,0)</f>
        <v>9</v>
      </c>
      <c r="L66" s="9">
        <f>VLOOKUP($A66,'k=6'!$A$2:$E$154,4,0)</f>
        <v>2</v>
      </c>
      <c r="N66" s="13">
        <f t="shared" si="1"/>
        <v>0.06180600177</v>
      </c>
      <c r="P66" s="26" t="s">
        <v>77</v>
      </c>
      <c r="Q66" s="13">
        <v>0.053835422602089136</v>
      </c>
    </row>
    <row r="67">
      <c r="A67" s="26" t="s">
        <v>32</v>
      </c>
      <c r="B67" s="13">
        <f>VLOOKUP($A67,'k=2'!$A$2:$E$154,5,0)</f>
        <v>0.007877192982</v>
      </c>
      <c r="C67" s="13">
        <f>VLOOKUP($A67,'k=3'!$A$2:$E$154,5,0)</f>
        <v>0.02131578947</v>
      </c>
      <c r="D67" s="13">
        <f>VLOOKUP($A67,'k=4'!$A$2:$E$154,5,0)</f>
        <v>0.0659122807</v>
      </c>
      <c r="E67" s="13">
        <f>VLOOKUP($A67,'k=5'!$A$2:$E$154,5,0)</f>
        <v>0.02792982456</v>
      </c>
      <c r="F67" s="13">
        <f>VLOOKUP($A67,'k=6'!$A$2:$E$154,5,0)</f>
        <v>0.1606666667</v>
      </c>
      <c r="H67" s="9">
        <f>VLOOKUP($A67,'k=2'!$A$2:$E$154,4,0)</f>
        <v>171</v>
      </c>
      <c r="I67" s="9">
        <f>VLOOKUP($A67,'k=3'!$A$2:$E$154,4,0)</f>
        <v>67</v>
      </c>
      <c r="J67" s="9">
        <f>VLOOKUP($A67,'k=4'!$A$2:$E$154,4,0)</f>
        <v>25</v>
      </c>
      <c r="K67" s="9">
        <f>VLOOKUP($A67,'k=5'!$A$2:$E$154,4,0)</f>
        <v>13</v>
      </c>
      <c r="L67" s="9">
        <f>VLOOKUP($A67,'k=6'!$A$2:$E$154,4,0)</f>
        <v>4</v>
      </c>
      <c r="N67" s="13">
        <f t="shared" si="1"/>
        <v>0.01938828321</v>
      </c>
      <c r="P67" s="26" t="s">
        <v>88</v>
      </c>
      <c r="Q67" s="13">
        <v>0.053868708895207756</v>
      </c>
    </row>
    <row r="68">
      <c r="A68" s="26" t="s">
        <v>86</v>
      </c>
      <c r="B68" s="13">
        <f>VLOOKUP($A68,'k=2'!$A$2:$E$154,5,0)</f>
        <v>0.02692783505</v>
      </c>
      <c r="C68" s="13">
        <f>VLOOKUP($A68,'k=3'!$A$2:$E$154,5,0)</f>
        <v>0.05865979381</v>
      </c>
      <c r="D68" s="13">
        <f>VLOOKUP($A68,'k=4'!$A$2:$E$154,5,0)</f>
        <v>0.1306804124</v>
      </c>
      <c r="E68" s="13">
        <f>VLOOKUP($A68,'k=5'!$A$2:$E$154,5,0)</f>
        <v>0.1934845361</v>
      </c>
      <c r="F68" s="13">
        <f>VLOOKUP($A68,'k=6'!$A$2:$E$154,5,0)</f>
        <v>0.4629072165</v>
      </c>
      <c r="H68" s="9">
        <f>VLOOKUP($A68,'k=2'!$A$2:$E$154,4,0)</f>
        <v>161</v>
      </c>
      <c r="I68" s="9">
        <f>VLOOKUP($A68,'k=3'!$A$2:$E$154,4,0)</f>
        <v>56</v>
      </c>
      <c r="J68" s="9">
        <f>VLOOKUP($A68,'k=4'!$A$2:$E$154,4,0)</f>
        <v>18</v>
      </c>
      <c r="K68" s="9">
        <f>VLOOKUP($A68,'k=5'!$A$2:$E$154,4,0)</f>
        <v>6</v>
      </c>
      <c r="L68" s="9">
        <f>VLOOKUP($A68,'k=6'!$A$2:$E$154,4,0)</f>
        <v>1</v>
      </c>
      <c r="N68" s="13">
        <f t="shared" si="1"/>
        <v>0.04791897418</v>
      </c>
      <c r="P68" s="26" t="s">
        <v>144</v>
      </c>
      <c r="Q68" s="13">
        <v>0.054056414574402814</v>
      </c>
    </row>
    <row r="69">
      <c r="A69" s="26" t="s">
        <v>121</v>
      </c>
      <c r="B69" s="13">
        <f>VLOOKUP($A69,'k=2'!$A$2:$E$154,5,0)</f>
        <v>0.04092307692</v>
      </c>
      <c r="C69" s="13">
        <f>VLOOKUP($A69,'k=3'!$A$2:$E$154,5,0)</f>
        <v>0.1195555556</v>
      </c>
      <c r="D69" s="13">
        <f>VLOOKUP($A69,'k=4'!$A$2:$E$154,5,0)</f>
        <v>0.1491623932</v>
      </c>
      <c r="E69" s="13">
        <f>VLOOKUP($A69,'k=5'!$A$2:$E$154,5,0)</f>
        <v>0.2742735043</v>
      </c>
      <c r="F69" s="13">
        <f>VLOOKUP($A69,'k=6'!$A$2:$E$154,5,0)</f>
        <v>0.1739316239</v>
      </c>
      <c r="H69" s="9">
        <f>VLOOKUP($A69,'k=2'!$A$2:$E$154,4,0)</f>
        <v>144</v>
      </c>
      <c r="I69" s="9">
        <f>VLOOKUP($A69,'k=3'!$A$2:$E$154,4,0)</f>
        <v>49</v>
      </c>
      <c r="J69" s="9">
        <f>VLOOKUP($A69,'k=4'!$A$2:$E$154,4,0)</f>
        <v>19</v>
      </c>
      <c r="K69" s="9">
        <f>VLOOKUP($A69,'k=5'!$A$2:$E$154,4,0)</f>
        <v>5</v>
      </c>
      <c r="L69" s="9">
        <f>VLOOKUP($A69,'k=6'!$A$2:$E$154,4,0)</f>
        <v>3</v>
      </c>
      <c r="N69" s="13">
        <f t="shared" si="1"/>
        <v>0.0749017871</v>
      </c>
      <c r="P69" s="26" t="s">
        <v>110</v>
      </c>
      <c r="Q69" s="13">
        <v>0.05418402016917598</v>
      </c>
    </row>
    <row r="70">
      <c r="A70" s="26" t="s">
        <v>102</v>
      </c>
      <c r="B70" s="13">
        <f>VLOOKUP($A70,'k=2'!$A$2:$E$154,5,0)</f>
        <v>0.03243410853</v>
      </c>
      <c r="C70" s="13">
        <f>VLOOKUP($A70,'k=3'!$A$2:$E$154,5,0)</f>
        <v>0.01744186047</v>
      </c>
      <c r="D70" s="13">
        <f>VLOOKUP($A70,'k=4'!$A$2:$E$154,5,0)</f>
        <v>0.1846356589</v>
      </c>
      <c r="E70" s="13">
        <f>VLOOKUP($A70,'k=5'!$A$2:$E$154,5,0)</f>
        <v>0.3043100775</v>
      </c>
      <c r="F70" s="13">
        <f>VLOOKUP($A70,'k=6'!$A$2:$E$154,5,0)</f>
        <v>0.3470852713</v>
      </c>
      <c r="H70" s="9">
        <f>VLOOKUP($A70,'k=2'!$A$2:$E$154,4,0)</f>
        <v>154</v>
      </c>
      <c r="I70" s="9">
        <f>VLOOKUP($A70,'k=3'!$A$2:$E$154,4,0)</f>
        <v>61</v>
      </c>
      <c r="J70" s="9">
        <f>VLOOKUP($A70,'k=4'!$A$2:$E$154,4,0)</f>
        <v>18</v>
      </c>
      <c r="K70" s="9">
        <f>VLOOKUP($A70,'k=5'!$A$2:$E$154,4,0)</f>
        <v>6</v>
      </c>
      <c r="L70" s="9">
        <f>VLOOKUP($A70,'k=6'!$A$2:$E$154,4,0)</f>
        <v>2</v>
      </c>
      <c r="N70" s="13">
        <f t="shared" si="1"/>
        <v>0.04938705008</v>
      </c>
      <c r="P70" s="26" t="s">
        <v>143</v>
      </c>
      <c r="Q70" s="13">
        <v>0.05488011894647397</v>
      </c>
    </row>
    <row r="71">
      <c r="A71" s="26" t="s">
        <v>52</v>
      </c>
      <c r="B71" s="13">
        <f>VLOOKUP($A71,'k=2'!$A$2:$E$154,5,0)</f>
        <v>0.01312244898</v>
      </c>
      <c r="C71" s="13">
        <f>VLOOKUP($A71,'k=3'!$A$2:$E$154,5,0)</f>
        <v>0.0123877551</v>
      </c>
      <c r="D71" s="13">
        <f>VLOOKUP($A71,'k=4'!$A$2:$E$154,5,0)</f>
        <v>0.02087755102</v>
      </c>
      <c r="E71" s="13">
        <f>VLOOKUP($A71,'k=5'!$A$2:$E$154,5,0)</f>
        <v>0.06606122449</v>
      </c>
      <c r="F71" s="13">
        <f>VLOOKUP($A71,'k=6'!$A$2:$E$154,5,0)</f>
        <v>0.06555102041</v>
      </c>
      <c r="H71" s="9">
        <f>VLOOKUP($A71,'k=2'!$A$2:$E$154,4,0)</f>
        <v>185</v>
      </c>
      <c r="I71" s="9">
        <f>VLOOKUP($A71,'k=3'!$A$2:$E$154,4,0)</f>
        <v>78</v>
      </c>
      <c r="J71" s="9">
        <f>VLOOKUP($A71,'k=4'!$A$2:$E$154,4,0)</f>
        <v>32</v>
      </c>
      <c r="K71" s="9">
        <f>VLOOKUP($A71,'k=5'!$A$2:$E$154,4,0)</f>
        <v>12</v>
      </c>
      <c r="L71" s="9">
        <f>VLOOKUP($A71,'k=6'!$A$2:$E$154,4,0)</f>
        <v>6</v>
      </c>
      <c r="N71" s="13">
        <f t="shared" si="1"/>
        <v>0.01676683836</v>
      </c>
      <c r="P71" s="26" t="s">
        <v>87</v>
      </c>
      <c r="Q71" s="13">
        <v>0.05516259398496226</v>
      </c>
    </row>
    <row r="72">
      <c r="A72" s="26" t="s">
        <v>134</v>
      </c>
      <c r="B72" s="13">
        <f>VLOOKUP($A72,'k=2'!$A$2:$E$154,5,0)</f>
        <v>0.04601769912</v>
      </c>
      <c r="C72" s="13">
        <f>VLOOKUP($A72,'k=3'!$A$2:$E$154,5,0)</f>
        <v>0.1232743363</v>
      </c>
      <c r="D72" s="13">
        <f>VLOOKUP($A72,'k=4'!$A$2:$E$154,5,0)</f>
        <v>0.2468141593</v>
      </c>
      <c r="E72" s="13">
        <f>VLOOKUP($A72,'k=5'!$A$2:$E$154,5,0)</f>
        <v>0.3658053097</v>
      </c>
      <c r="F72" s="13">
        <f>VLOOKUP($A72,'k=6'!$A$2:$E$154,5,0)</f>
        <v>0.6532566372</v>
      </c>
      <c r="H72" s="9">
        <f>VLOOKUP($A72,'k=2'!$A$2:$E$154,4,0)</f>
        <v>196</v>
      </c>
      <c r="I72" s="9">
        <f>VLOOKUP($A72,'k=3'!$A$2:$E$154,4,0)</f>
        <v>70</v>
      </c>
      <c r="J72" s="9">
        <f>VLOOKUP($A72,'k=4'!$A$2:$E$154,4,0)</f>
        <v>23</v>
      </c>
      <c r="K72" s="9">
        <f>VLOOKUP($A72,'k=5'!$A$2:$E$154,4,0)</f>
        <v>7</v>
      </c>
      <c r="L72" s="9">
        <f>VLOOKUP($A72,'k=6'!$A$2:$E$154,4,0)</f>
        <v>1</v>
      </c>
      <c r="N72" s="13">
        <f t="shared" si="1"/>
        <v>0.08935788564</v>
      </c>
      <c r="P72" s="26" t="s">
        <v>157</v>
      </c>
      <c r="Q72" s="13">
        <v>0.055375326315789467</v>
      </c>
    </row>
    <row r="73">
      <c r="A73" s="26" t="s">
        <v>172</v>
      </c>
      <c r="B73" s="13">
        <f>VLOOKUP($A73,'k=2'!$A$2:$E$154,5,0)</f>
        <v>0.06974736842</v>
      </c>
      <c r="C73" s="13">
        <f>VLOOKUP($A73,'k=3'!$A$2:$E$154,5,0)</f>
        <v>0.03543157895</v>
      </c>
      <c r="D73" s="13">
        <f>VLOOKUP($A73,'k=4'!$A$2:$E$154,5,0)</f>
        <v>0.04267368421</v>
      </c>
      <c r="E73" s="13">
        <f>VLOOKUP($A73,'k=5'!$A$2:$E$154,5,0)</f>
        <v>0.07926315789</v>
      </c>
      <c r="F73" s="13">
        <f>VLOOKUP($A73,'k=6'!$A$2:$E$154,5,0)</f>
        <v>0.2916210526</v>
      </c>
      <c r="H73" s="9">
        <f>VLOOKUP($A73,'k=2'!$A$2:$E$154,4,0)</f>
        <v>260</v>
      </c>
      <c r="I73" s="9">
        <f>VLOOKUP($A73,'k=3'!$A$2:$E$154,4,0)</f>
        <v>136</v>
      </c>
      <c r="J73" s="9">
        <f>VLOOKUP($A73,'k=4'!$A$2:$E$154,4,0)</f>
        <v>70</v>
      </c>
      <c r="K73" s="9">
        <f>VLOOKUP($A73,'k=5'!$A$2:$E$154,4,0)</f>
        <v>34</v>
      </c>
      <c r="L73" s="9">
        <f>VLOOKUP($A73,'k=6'!$A$2:$E$154,4,0)</f>
        <v>12</v>
      </c>
      <c r="N73" s="13">
        <f t="shared" si="1"/>
        <v>0.06276282895</v>
      </c>
      <c r="P73" s="26" t="s">
        <v>80</v>
      </c>
      <c r="Q73" s="13">
        <v>0.05555183844773569</v>
      </c>
    </row>
    <row r="74">
      <c r="A74" s="26" t="s">
        <v>155</v>
      </c>
      <c r="B74" s="13">
        <f>VLOOKUP($A74,'k=2'!$A$2:$E$154,5,0)</f>
        <v>0.05516176471</v>
      </c>
      <c r="C74" s="13">
        <f>VLOOKUP($A74,'k=3'!$A$2:$E$154,5,0)</f>
        <v>0.09529411765</v>
      </c>
      <c r="D74" s="13">
        <f>VLOOKUP($A74,'k=4'!$A$2:$E$154,5,0)</f>
        <v>0.3353823529</v>
      </c>
      <c r="E74" s="13">
        <f>VLOOKUP($A74,'k=5'!$A$2:$E$154,5,0)</f>
        <v>0.4008382353</v>
      </c>
      <c r="F74" s="13">
        <f>VLOOKUP($A74,'k=6'!$A$2:$E$154,5,0)</f>
        <v>0.2970441176</v>
      </c>
      <c r="H74" s="9">
        <f>VLOOKUP($A74,'k=2'!$A$2:$E$154,4,0)</f>
        <v>238</v>
      </c>
      <c r="I74" s="9">
        <f>VLOOKUP($A74,'k=3'!$A$2:$E$154,4,0)</f>
        <v>100</v>
      </c>
      <c r="J74" s="9">
        <f>VLOOKUP($A74,'k=4'!$A$2:$E$154,4,0)</f>
        <v>28</v>
      </c>
      <c r="K74" s="9">
        <f>VLOOKUP($A74,'k=5'!$A$2:$E$154,4,0)</f>
        <v>10</v>
      </c>
      <c r="L74" s="9">
        <f>VLOOKUP($A74,'k=6'!$A$2:$E$154,4,0)</f>
        <v>5</v>
      </c>
      <c r="N74" s="13">
        <f t="shared" si="1"/>
        <v>0.09853601204</v>
      </c>
      <c r="P74" s="26" t="s">
        <v>103</v>
      </c>
      <c r="Q74" s="13">
        <v>0.055670315789473686</v>
      </c>
    </row>
    <row r="75">
      <c r="A75" s="26" t="s">
        <v>38</v>
      </c>
      <c r="B75" s="13">
        <f>VLOOKUP($A75,'k=2'!$A$2:$E$154,5,0)</f>
        <v>0.009538461538</v>
      </c>
      <c r="C75" s="13">
        <f>VLOOKUP($A75,'k=3'!$A$2:$E$154,5,0)</f>
        <v>0.02037362637</v>
      </c>
      <c r="D75" s="13">
        <f>VLOOKUP($A75,'k=4'!$A$2:$E$154,5,0)</f>
        <v>0.02103296703</v>
      </c>
      <c r="E75" s="13">
        <f>VLOOKUP($A75,'k=5'!$A$2:$E$154,5,0)</f>
        <v>0.04384615385</v>
      </c>
      <c r="F75" s="13">
        <f>VLOOKUP($A75,'k=6'!$A$2:$E$154,5,0)</f>
        <v>0.01672527473</v>
      </c>
      <c r="H75" s="9">
        <f>VLOOKUP($A75,'k=2'!$A$2:$E$154,4,0)</f>
        <v>151</v>
      </c>
      <c r="I75" s="9">
        <f>VLOOKUP($A75,'k=3'!$A$2:$E$154,4,0)</f>
        <v>61</v>
      </c>
      <c r="J75" s="9">
        <f>VLOOKUP($A75,'k=4'!$A$2:$E$154,4,0)</f>
        <v>26</v>
      </c>
      <c r="K75" s="9">
        <f>VLOOKUP($A75,'k=5'!$A$2:$E$154,4,0)</f>
        <v>11</v>
      </c>
      <c r="L75" s="9">
        <f>VLOOKUP($A75,'k=6'!$A$2:$E$154,4,0)</f>
        <v>7</v>
      </c>
      <c r="N75" s="13">
        <f t="shared" si="1"/>
        <v>0.01495836195</v>
      </c>
      <c r="P75" s="26" t="s">
        <v>98</v>
      </c>
      <c r="Q75" s="13">
        <v>0.05718471814923418</v>
      </c>
    </row>
    <row r="76">
      <c r="A76" s="26" t="s">
        <v>141</v>
      </c>
      <c r="B76" s="13">
        <f>VLOOKUP($A76,'k=2'!$A$2:$E$154,5,0)</f>
        <v>0.04847727273</v>
      </c>
      <c r="C76" s="13">
        <f>VLOOKUP($A76,'k=3'!$A$2:$E$154,5,0)</f>
        <v>0.01134090909</v>
      </c>
      <c r="D76" s="13">
        <f>VLOOKUP($A76,'k=4'!$A$2:$E$154,5,0)</f>
        <v>0.004659090909</v>
      </c>
      <c r="E76" s="13">
        <f>VLOOKUP($A76,'k=5'!$A$2:$E$154,5,0)</f>
        <v>0</v>
      </c>
      <c r="F76" s="13">
        <f>VLOOKUP($A76,'k=6'!$A$2:$E$154,5,0)</f>
        <v>0</v>
      </c>
      <c r="H76" s="9">
        <f>VLOOKUP($A76,'k=2'!$A$2:$E$154,4,0)</f>
        <v>153</v>
      </c>
      <c r="I76" s="9">
        <f>VLOOKUP($A76,'k=3'!$A$2:$E$154,4,0)</f>
        <v>73</v>
      </c>
      <c r="J76" s="9">
        <f>VLOOKUP($A76,'k=4'!$A$2:$E$154,4,0)</f>
        <v>39</v>
      </c>
      <c r="K76" s="9">
        <f>VLOOKUP($A76,'k=5'!$A$2:$E$154,4,0)</f>
        <v>25</v>
      </c>
      <c r="L76" s="9">
        <f>VLOOKUP($A76,'k=6'!$A$2:$E$154,4,0)</f>
        <v>18</v>
      </c>
      <c r="N76" s="13">
        <f t="shared" si="1"/>
        <v>0.02735913518</v>
      </c>
      <c r="P76" s="26" t="s">
        <v>147</v>
      </c>
      <c r="Q76" s="13">
        <v>0.05960726495726488</v>
      </c>
    </row>
    <row r="77">
      <c r="A77" s="26" t="s">
        <v>85</v>
      </c>
      <c r="B77" s="13">
        <f>VLOOKUP($A77,'k=2'!$A$2:$E$154,5,0)</f>
        <v>0.02636697248</v>
      </c>
      <c r="C77" s="13">
        <f>VLOOKUP($A77,'k=3'!$A$2:$E$154,5,0)</f>
        <v>0.0147706422</v>
      </c>
      <c r="D77" s="13">
        <f>VLOOKUP($A77,'k=4'!$A$2:$E$154,5,0)</f>
        <v>0.01655045872</v>
      </c>
      <c r="E77" s="13">
        <f>VLOOKUP($A77,'k=5'!$A$2:$E$154,5,0)</f>
        <v>0.02695412844</v>
      </c>
      <c r="F77" s="13">
        <f>VLOOKUP($A77,'k=6'!$A$2:$E$154,5,0)</f>
        <v>0.08433027523</v>
      </c>
      <c r="H77" s="9">
        <f>VLOOKUP($A77,'k=2'!$A$2:$E$154,4,0)</f>
        <v>321</v>
      </c>
      <c r="I77" s="9">
        <f>VLOOKUP($A77,'k=3'!$A$2:$E$154,4,0)</f>
        <v>150</v>
      </c>
      <c r="J77" s="9">
        <f>VLOOKUP($A77,'k=4'!$A$2:$E$154,4,0)</f>
        <v>71</v>
      </c>
      <c r="K77" s="9">
        <f>VLOOKUP($A77,'k=5'!$A$2:$E$154,4,0)</f>
        <v>32</v>
      </c>
      <c r="L77" s="9">
        <f>VLOOKUP($A77,'k=6'!$A$2:$E$154,4,0)</f>
        <v>13</v>
      </c>
      <c r="N77" s="13">
        <f t="shared" si="1"/>
        <v>0.02353203195</v>
      </c>
      <c r="P77" s="26" t="s">
        <v>154</v>
      </c>
      <c r="Q77" s="13">
        <v>0.05965008576329319</v>
      </c>
    </row>
    <row r="78">
      <c r="A78" s="26" t="s">
        <v>90</v>
      </c>
      <c r="B78" s="13">
        <f>VLOOKUP($A78,'k=2'!$A$2:$E$154,5,0)</f>
        <v>0.02880519481</v>
      </c>
      <c r="C78" s="13">
        <f>VLOOKUP($A78,'k=3'!$A$2:$E$154,5,0)</f>
        <v>0.04</v>
      </c>
      <c r="D78" s="13">
        <f>VLOOKUP($A78,'k=4'!$A$2:$E$154,5,0)</f>
        <v>0.1103376623</v>
      </c>
      <c r="E78" s="13">
        <f>VLOOKUP($A78,'k=5'!$A$2:$E$154,5,0)</f>
        <v>0.1662077922</v>
      </c>
      <c r="F78" s="13">
        <f>VLOOKUP($A78,'k=6'!$A$2:$E$154,5,0)</f>
        <v>0.0927012987</v>
      </c>
      <c r="H78" s="9">
        <f>VLOOKUP($A78,'k=2'!$A$2:$E$154,4,0)</f>
        <v>111</v>
      </c>
      <c r="I78" s="9">
        <f>VLOOKUP($A78,'k=3'!$A$2:$E$154,4,0)</f>
        <v>43</v>
      </c>
      <c r="J78" s="9">
        <f>VLOOKUP($A78,'k=4'!$A$2:$E$154,4,0)</f>
        <v>14</v>
      </c>
      <c r="K78" s="9">
        <f>VLOOKUP($A78,'k=5'!$A$2:$E$154,4,0)</f>
        <v>5</v>
      </c>
      <c r="L78" s="9">
        <f>VLOOKUP($A78,'k=6'!$A$2:$E$154,4,0)</f>
        <v>3</v>
      </c>
      <c r="N78" s="13">
        <f t="shared" si="1"/>
        <v>0.04301844746</v>
      </c>
      <c r="P78" s="26" t="s">
        <v>126</v>
      </c>
      <c r="Q78" s="13">
        <v>0.06033506403599859</v>
      </c>
    </row>
    <row r="79">
      <c r="A79" s="26" t="s">
        <v>98</v>
      </c>
      <c r="B79" s="13">
        <f>VLOOKUP($A79,'k=2'!$A$2:$E$154,5,0)</f>
        <v>0.03127272727</v>
      </c>
      <c r="C79" s="13">
        <f>VLOOKUP($A79,'k=3'!$A$2:$E$154,5,0)</f>
        <v>0.08383333333</v>
      </c>
      <c r="D79" s="13">
        <f>VLOOKUP($A79,'k=4'!$A$2:$E$154,5,0)</f>
        <v>0.09292424242</v>
      </c>
      <c r="E79" s="13">
        <f>VLOOKUP($A79,'k=5'!$A$2:$E$154,5,0)</f>
        <v>0.1118181818</v>
      </c>
      <c r="F79" s="13">
        <f>VLOOKUP($A79,'k=6'!$A$2:$E$154,5,0)</f>
        <v>0.07813636364</v>
      </c>
      <c r="H79" s="9">
        <f>VLOOKUP($A79,'k=2'!$A$2:$E$154,4,0)</f>
        <v>257</v>
      </c>
      <c r="I79" s="9">
        <f>VLOOKUP($A79,'k=3'!$A$2:$E$154,4,0)</f>
        <v>116</v>
      </c>
      <c r="J79" s="9">
        <f>VLOOKUP($A79,'k=4'!$A$2:$E$154,4,0)</f>
        <v>54</v>
      </c>
      <c r="K79" s="9">
        <f>VLOOKUP($A79,'k=5'!$A$2:$E$154,4,0)</f>
        <v>25</v>
      </c>
      <c r="L79" s="9">
        <f>VLOOKUP($A79,'k=6'!$A$2:$E$154,4,0)</f>
        <v>13</v>
      </c>
      <c r="N79" s="13">
        <f t="shared" si="1"/>
        <v>0.05718471815</v>
      </c>
      <c r="P79" s="26" t="s">
        <v>133</v>
      </c>
      <c r="Q79" s="13">
        <v>0.06083144070307095</v>
      </c>
    </row>
    <row r="80">
      <c r="A80" s="26" t="s">
        <v>76</v>
      </c>
      <c r="B80" s="13">
        <f>VLOOKUP($A80,'k=2'!$A$2:$E$154,5,0)</f>
        <v>0.02106569343</v>
      </c>
      <c r="C80" s="13">
        <f>VLOOKUP($A80,'k=3'!$A$2:$E$154,5,0)</f>
        <v>0.01913868613</v>
      </c>
      <c r="D80" s="13">
        <f>VLOOKUP($A80,'k=4'!$A$2:$E$154,5,0)</f>
        <v>0.01299270073</v>
      </c>
      <c r="E80" s="13">
        <f>VLOOKUP($A80,'k=5'!$A$2:$E$154,5,0)</f>
        <v>0.01512408759</v>
      </c>
      <c r="F80" s="13">
        <f>VLOOKUP($A80,'k=6'!$A$2:$E$154,5,0)</f>
        <v>0.007664233577</v>
      </c>
      <c r="H80" s="9">
        <f>VLOOKUP($A80,'k=2'!$A$2:$E$154,4,0)</f>
        <v>368</v>
      </c>
      <c r="I80" s="9">
        <f>VLOOKUP($A80,'k=3'!$A$2:$E$154,4,0)</f>
        <v>189</v>
      </c>
      <c r="J80" s="9">
        <f>VLOOKUP($A80,'k=4'!$A$2:$E$154,4,0)</f>
        <v>99</v>
      </c>
      <c r="K80" s="9">
        <f>VLOOKUP($A80,'k=5'!$A$2:$E$154,4,0)</f>
        <v>51</v>
      </c>
      <c r="L80" s="9">
        <f>VLOOKUP($A80,'k=6'!$A$2:$E$154,4,0)</f>
        <v>29</v>
      </c>
      <c r="N80" s="13">
        <f t="shared" si="1"/>
        <v>0.01854518407</v>
      </c>
      <c r="P80" s="26" t="s">
        <v>150</v>
      </c>
      <c r="Q80" s="13">
        <v>0.06086054421768698</v>
      </c>
    </row>
    <row r="81">
      <c r="A81" s="26" t="s">
        <v>161</v>
      </c>
      <c r="B81" s="13">
        <f>VLOOKUP($A81,'k=2'!$A$2:$E$154,5,0)</f>
        <v>0.05965714286</v>
      </c>
      <c r="C81" s="13">
        <f>VLOOKUP($A81,'k=3'!$A$2:$E$154,5,0)</f>
        <v>0.2108952381</v>
      </c>
      <c r="D81" s="13">
        <f>VLOOKUP($A81,'k=4'!$A$2:$E$154,5,0)</f>
        <v>0.4319428571</v>
      </c>
      <c r="E81" s="13">
        <f>VLOOKUP($A81,'k=5'!$A$2:$E$154,5,0)</f>
        <v>0.4243238095</v>
      </c>
      <c r="F81" s="13">
        <f>VLOOKUP($A81,'k=6'!$A$2:$E$154,5,0)</f>
        <v>0.3869714286</v>
      </c>
      <c r="H81" s="9">
        <f>VLOOKUP($A81,'k=2'!$A$2:$E$154,4,0)</f>
        <v>151</v>
      </c>
      <c r="I81" s="9">
        <f>VLOOKUP($A81,'k=3'!$A$2:$E$154,4,0)</f>
        <v>49</v>
      </c>
      <c r="J81" s="9">
        <f>VLOOKUP($A81,'k=4'!$A$2:$E$154,4,0)</f>
        <v>13</v>
      </c>
      <c r="K81" s="9">
        <f>VLOOKUP($A81,'k=5'!$A$2:$E$154,4,0)</f>
        <v>5</v>
      </c>
      <c r="L81" s="9">
        <f>VLOOKUP($A81,'k=6'!$A$2:$E$154,4,0)</f>
        <v>2</v>
      </c>
      <c r="N81" s="13">
        <f t="shared" si="1"/>
        <v>0.1266041558</v>
      </c>
      <c r="P81" s="26" t="s">
        <v>78</v>
      </c>
      <c r="Q81" s="13">
        <v>0.06180600176522497</v>
      </c>
    </row>
    <row r="82">
      <c r="A82" s="26" t="s">
        <v>92</v>
      </c>
      <c r="B82" s="13">
        <f>VLOOKUP($A82,'k=2'!$A$2:$E$154,5,0)</f>
        <v>0.02927058824</v>
      </c>
      <c r="C82" s="13">
        <f>VLOOKUP($A82,'k=3'!$A$2:$E$154,5,0)</f>
        <v>0.1887764706</v>
      </c>
      <c r="D82" s="13">
        <f>VLOOKUP($A82,'k=4'!$A$2:$E$154,5,0)</f>
        <v>0.3993882353</v>
      </c>
      <c r="E82" s="13">
        <f>VLOOKUP($A82,'k=5'!$A$2:$E$154,5,0)</f>
        <v>0.5914823529</v>
      </c>
      <c r="F82" s="13">
        <f>VLOOKUP($A82,'k=6'!$A$2:$E$154,5,0)</f>
        <v>1</v>
      </c>
      <c r="H82" s="9">
        <f>VLOOKUP($A82,'k=2'!$A$2:$E$154,4,0)</f>
        <v>119</v>
      </c>
      <c r="I82" s="9">
        <f>VLOOKUP($A82,'k=3'!$A$2:$E$154,4,0)</f>
        <v>34</v>
      </c>
      <c r="J82" s="9">
        <f>VLOOKUP($A82,'k=4'!$A$2:$E$154,4,0)</f>
        <v>9</v>
      </c>
      <c r="K82" s="9">
        <f>VLOOKUP($A82,'k=5'!$A$2:$E$154,4,0)</f>
        <v>2</v>
      </c>
      <c r="L82" s="9">
        <f>VLOOKUP($A82,'k=6'!$A$2:$E$154,4,0)</f>
        <v>0</v>
      </c>
      <c r="N82" s="13">
        <f t="shared" si="1"/>
        <v>0.08950645624</v>
      </c>
      <c r="P82" s="26" t="s">
        <v>172</v>
      </c>
      <c r="Q82" s="13">
        <v>0.06276282894736837</v>
      </c>
    </row>
    <row r="83">
      <c r="A83" s="26" t="s">
        <v>162</v>
      </c>
      <c r="B83" s="13">
        <f>VLOOKUP($A83,'k=2'!$A$2:$E$154,5,0)</f>
        <v>0.06193548387</v>
      </c>
      <c r="C83" s="13">
        <f>VLOOKUP($A83,'k=3'!$A$2:$E$154,5,0)</f>
        <v>0.1693548387</v>
      </c>
      <c r="D83" s="13">
        <f>VLOOKUP($A83,'k=4'!$A$2:$E$154,5,0)</f>
        <v>0.1272903226</v>
      </c>
      <c r="E83" s="13">
        <f>VLOOKUP($A83,'k=5'!$A$2:$E$154,5,0)</f>
        <v>0.2079677419</v>
      </c>
      <c r="F83" s="13">
        <f>VLOOKUP($A83,'k=6'!$A$2:$E$154,5,0)</f>
        <v>0.3333225806</v>
      </c>
      <c r="H83" s="9">
        <f>VLOOKUP($A83,'k=2'!$A$2:$E$154,4,0)</f>
        <v>184</v>
      </c>
      <c r="I83" s="9">
        <f>VLOOKUP($A83,'k=3'!$A$2:$E$154,4,0)</f>
        <v>68</v>
      </c>
      <c r="J83" s="9">
        <f>VLOOKUP($A83,'k=4'!$A$2:$E$154,4,0)</f>
        <v>31</v>
      </c>
      <c r="K83" s="9">
        <f>VLOOKUP($A83,'k=5'!$A$2:$E$154,4,0)</f>
        <v>12</v>
      </c>
      <c r="L83" s="9">
        <f>VLOOKUP($A83,'k=6'!$A$2:$E$154,4,0)</f>
        <v>4</v>
      </c>
      <c r="N83" s="13">
        <f t="shared" si="1"/>
        <v>0.1026326465</v>
      </c>
      <c r="P83" s="26" t="s">
        <v>118</v>
      </c>
      <c r="Q83" s="13">
        <v>0.0647371346768795</v>
      </c>
    </row>
    <row r="84">
      <c r="A84" s="26" t="s">
        <v>177</v>
      </c>
      <c r="B84" s="13">
        <f>VLOOKUP($A84,'k=2'!$A$2:$E$154,5,0)</f>
        <v>0.08171962617</v>
      </c>
      <c r="C84" s="13">
        <f>VLOOKUP($A84,'k=3'!$A$2:$E$154,5,0)</f>
        <v>0.08403738318</v>
      </c>
      <c r="D84" s="13">
        <f>VLOOKUP($A84,'k=4'!$A$2:$E$154,5,0)</f>
        <v>0.193682243</v>
      </c>
      <c r="E84" s="13">
        <f>VLOOKUP($A84,'k=5'!$A$2:$E$154,5,0)</f>
        <v>0.1957196262</v>
      </c>
      <c r="F84" s="13">
        <f>VLOOKUP($A84,'k=6'!$A$2:$E$154,5,0)</f>
        <v>0.1569158879</v>
      </c>
      <c r="H84" s="9">
        <f>VLOOKUP($A84,'k=2'!$A$2:$E$154,4,0)</f>
        <v>279</v>
      </c>
      <c r="I84" s="9">
        <f>VLOOKUP($A84,'k=3'!$A$2:$E$154,4,0)</f>
        <v>117</v>
      </c>
      <c r="J84" s="9">
        <f>VLOOKUP($A84,'k=4'!$A$2:$E$154,4,0)</f>
        <v>45</v>
      </c>
      <c r="K84" s="9">
        <f>VLOOKUP($A84,'k=5'!$A$2:$E$154,4,0)</f>
        <v>19</v>
      </c>
      <c r="L84" s="9">
        <f>VLOOKUP($A84,'k=6'!$A$2:$E$154,4,0)</f>
        <v>9</v>
      </c>
      <c r="N84" s="13">
        <f t="shared" si="1"/>
        <v>0.09910184724</v>
      </c>
      <c r="P84" s="26" t="s">
        <v>73</v>
      </c>
      <c r="Q84" s="13">
        <v>0.06561849397356868</v>
      </c>
    </row>
    <row r="85">
      <c r="A85" s="26" t="s">
        <v>89</v>
      </c>
      <c r="B85" s="13">
        <f>VLOOKUP($A85,'k=2'!$A$2:$E$154,5,0)</f>
        <v>0.02845714286</v>
      </c>
      <c r="C85" s="13">
        <f>VLOOKUP($A85,'k=3'!$A$2:$E$154,5,0)</f>
        <v>0.1381904762</v>
      </c>
      <c r="D85" s="13">
        <f>VLOOKUP($A85,'k=4'!$A$2:$E$154,5,0)</f>
        <v>0.3765142857</v>
      </c>
      <c r="E85" s="13">
        <f>VLOOKUP($A85,'k=5'!$A$2:$E$154,5,0)</f>
        <v>0.7445142857</v>
      </c>
      <c r="F85" s="13">
        <f>VLOOKUP($A85,'k=6'!$A$2:$E$154,5,0)</f>
        <v>0.7024952381</v>
      </c>
      <c r="H85" s="9">
        <f>VLOOKUP($A85,'k=2'!$A$2:$E$154,4,0)</f>
        <v>196</v>
      </c>
      <c r="I85" s="9">
        <f>VLOOKUP($A85,'k=3'!$A$2:$E$154,4,0)</f>
        <v>67</v>
      </c>
      <c r="J85" s="9">
        <f>VLOOKUP($A85,'k=4'!$A$2:$E$154,4,0)</f>
        <v>19</v>
      </c>
      <c r="K85" s="9">
        <f>VLOOKUP($A85,'k=5'!$A$2:$E$154,4,0)</f>
        <v>3</v>
      </c>
      <c r="L85" s="9">
        <f>VLOOKUP($A85,'k=6'!$A$2:$E$154,4,0)</f>
        <v>1</v>
      </c>
      <c r="N85" s="13">
        <f t="shared" si="1"/>
        <v>0.08715444555</v>
      </c>
      <c r="P85" s="26" t="s">
        <v>128</v>
      </c>
      <c r="Q85" s="13">
        <v>0.06600440662094785</v>
      </c>
    </row>
    <row r="86">
      <c r="A86" s="26" t="s">
        <v>143</v>
      </c>
      <c r="B86" s="13">
        <f>VLOOKUP($A86,'k=2'!$A$2:$E$154,5,0)</f>
        <v>0.05020560748</v>
      </c>
      <c r="C86" s="13">
        <f>VLOOKUP($A86,'k=3'!$A$2:$E$154,5,0)</f>
        <v>0.0271588785</v>
      </c>
      <c r="D86" s="13">
        <f>VLOOKUP($A86,'k=4'!$A$2:$E$154,5,0)</f>
        <v>0.1043364486</v>
      </c>
      <c r="E86" s="13">
        <f>VLOOKUP($A86,'k=5'!$A$2:$E$154,5,0)</f>
        <v>0.1401308411</v>
      </c>
      <c r="F86" s="13">
        <f>VLOOKUP($A86,'k=6'!$A$2:$E$154,5,0)</f>
        <v>0.5671962617</v>
      </c>
      <c r="H86" s="9">
        <f>VLOOKUP($A86,'k=2'!$A$2:$E$154,4,0)</f>
        <v>135</v>
      </c>
      <c r="I86" s="9">
        <f>VLOOKUP($A86,'k=3'!$A$2:$E$154,4,0)</f>
        <v>56</v>
      </c>
      <c r="J86" s="9">
        <f>VLOOKUP($A86,'k=4'!$A$2:$E$154,4,0)</f>
        <v>20</v>
      </c>
      <c r="K86" s="9">
        <f>VLOOKUP($A86,'k=5'!$A$2:$E$154,4,0)</f>
        <v>8</v>
      </c>
      <c r="L86" s="9">
        <f>VLOOKUP($A86,'k=6'!$A$2:$E$154,4,0)</f>
        <v>1</v>
      </c>
      <c r="N86" s="13">
        <f t="shared" si="1"/>
        <v>0.05488011895</v>
      </c>
      <c r="P86" s="26" t="s">
        <v>100</v>
      </c>
      <c r="Q86" s="13">
        <v>0.06616145201713952</v>
      </c>
    </row>
    <row r="87">
      <c r="A87" s="26" t="s">
        <v>34</v>
      </c>
      <c r="B87" s="13">
        <f>VLOOKUP($A87,'k=2'!$A$2:$E$154,5,0)</f>
        <v>0.009079646018</v>
      </c>
      <c r="C87" s="13">
        <f>VLOOKUP($A87,'k=3'!$A$2:$E$154,5,0)</f>
        <v>0.04198230088</v>
      </c>
      <c r="D87" s="13">
        <f>VLOOKUP($A87,'k=4'!$A$2:$E$154,5,0)</f>
        <v>0.07084955752</v>
      </c>
      <c r="E87" s="13">
        <f>VLOOKUP($A87,'k=5'!$A$2:$E$154,5,0)</f>
        <v>0.107079646</v>
      </c>
      <c r="F87" s="13">
        <f>VLOOKUP($A87,'k=6'!$A$2:$E$154,5,0)</f>
        <v>0.4338584071</v>
      </c>
      <c r="H87" s="9">
        <f>VLOOKUP($A87,'k=2'!$A$2:$E$154,4,0)</f>
        <v>133</v>
      </c>
      <c r="I87" s="9">
        <f>VLOOKUP($A87,'k=3'!$A$2:$E$154,4,0)</f>
        <v>46</v>
      </c>
      <c r="J87" s="9">
        <f>VLOOKUP($A87,'k=4'!$A$2:$E$154,4,0)</f>
        <v>18</v>
      </c>
      <c r="K87" s="9">
        <f>VLOOKUP($A87,'k=5'!$A$2:$E$154,4,0)</f>
        <v>7</v>
      </c>
      <c r="L87" s="9">
        <f>VLOOKUP($A87,'k=6'!$A$2:$E$154,4,0)</f>
        <v>1</v>
      </c>
      <c r="N87" s="13">
        <f t="shared" si="1"/>
        <v>0.0273048133</v>
      </c>
      <c r="P87" s="26" t="s">
        <v>116</v>
      </c>
      <c r="Q87" s="13">
        <v>0.06625831822790239</v>
      </c>
    </row>
    <row r="88">
      <c r="A88" s="26" t="s">
        <v>36</v>
      </c>
      <c r="B88" s="13">
        <f>VLOOKUP($A88,'k=2'!$A$2:$E$154,5,0)</f>
        <v>0.009098360656</v>
      </c>
      <c r="C88" s="13">
        <f>VLOOKUP($A88,'k=3'!$A$2:$E$154,5,0)</f>
        <v>0.01140983607</v>
      </c>
      <c r="D88" s="13">
        <f>VLOOKUP($A88,'k=4'!$A$2:$E$154,5,0)</f>
        <v>0.07368852459</v>
      </c>
      <c r="E88" s="13">
        <f>VLOOKUP($A88,'k=5'!$A$2:$E$154,5,0)</f>
        <v>0.3110163934</v>
      </c>
      <c r="F88" s="13">
        <f>VLOOKUP($A88,'k=6'!$A$2:$E$154,5,0)</f>
        <v>0.5882295082</v>
      </c>
      <c r="H88" s="9">
        <f>VLOOKUP($A88,'k=2'!$A$2:$E$154,4,0)</f>
        <v>251</v>
      </c>
      <c r="I88" s="9">
        <f>VLOOKUP($A88,'k=3'!$A$2:$E$154,4,0)</f>
        <v>125</v>
      </c>
      <c r="J88" s="9">
        <f>VLOOKUP($A88,'k=4'!$A$2:$E$154,4,0)</f>
        <v>53</v>
      </c>
      <c r="K88" s="9">
        <f>VLOOKUP($A88,'k=5'!$A$2:$E$154,4,0)</f>
        <v>17</v>
      </c>
      <c r="L88" s="9">
        <f>VLOOKUP($A88,'k=6'!$A$2:$E$154,4,0)</f>
        <v>4</v>
      </c>
      <c r="N88" s="13">
        <f t="shared" si="1"/>
        <v>0.03390134791</v>
      </c>
      <c r="P88" s="26" t="s">
        <v>114</v>
      </c>
      <c r="Q88" s="13">
        <v>0.06631419117647058</v>
      </c>
    </row>
    <row r="89">
      <c r="A89" s="26" t="s">
        <v>16</v>
      </c>
      <c r="B89" s="13">
        <f>VLOOKUP($A89,'k=2'!$A$2:$E$154,5,0)</f>
        <v>0.003008547009</v>
      </c>
      <c r="C89" s="13">
        <f>VLOOKUP($A89,'k=3'!$A$2:$E$154,5,0)</f>
        <v>0.009111111111</v>
      </c>
      <c r="D89" s="13">
        <f>VLOOKUP($A89,'k=4'!$A$2:$E$154,5,0)</f>
        <v>0.01374358974</v>
      </c>
      <c r="E89" s="13">
        <f>VLOOKUP($A89,'k=5'!$A$2:$E$154,5,0)</f>
        <v>0.02837606838</v>
      </c>
      <c r="F89" s="13">
        <f>VLOOKUP($A89,'k=6'!$A$2:$E$154,5,0)</f>
        <v>0.07895726496</v>
      </c>
      <c r="H89" s="9">
        <f>VLOOKUP($A89,'k=2'!$A$2:$E$154,4,0)</f>
        <v>167</v>
      </c>
      <c r="I89" s="9">
        <f>VLOOKUP($A89,'k=3'!$A$2:$E$154,4,0)</f>
        <v>74</v>
      </c>
      <c r="J89" s="9">
        <f>VLOOKUP($A89,'k=4'!$A$2:$E$154,4,0)</f>
        <v>35</v>
      </c>
      <c r="K89" s="9">
        <f>VLOOKUP($A89,'k=5'!$A$2:$E$154,4,0)</f>
        <v>15</v>
      </c>
      <c r="L89" s="9">
        <f>VLOOKUP($A89,'k=6'!$A$2:$E$154,4,0)</f>
        <v>6</v>
      </c>
      <c r="N89" s="13">
        <f t="shared" si="1"/>
        <v>0.008609629054</v>
      </c>
      <c r="P89" s="26" t="s">
        <v>159</v>
      </c>
      <c r="Q89" s="13">
        <v>0.06680652876535223</v>
      </c>
    </row>
    <row r="90">
      <c r="A90" s="26" t="s">
        <v>144</v>
      </c>
      <c r="B90" s="13">
        <f>VLOOKUP($A90,'k=2'!$A$2:$E$154,5,0)</f>
        <v>0.05057746479</v>
      </c>
      <c r="C90" s="13">
        <f>VLOOKUP($A90,'k=3'!$A$2:$E$154,5,0)</f>
        <v>0.02815492958</v>
      </c>
      <c r="D90" s="13">
        <f>VLOOKUP($A90,'k=4'!$A$2:$E$154,5,0)</f>
        <v>0.09033802817</v>
      </c>
      <c r="E90" s="13">
        <f>VLOOKUP($A90,'k=5'!$A$2:$E$154,5,0)</f>
        <v>0.1472112676</v>
      </c>
      <c r="F90" s="13">
        <f>VLOOKUP($A90,'k=6'!$A$2:$E$154,5,0)</f>
        <v>0.6991408451</v>
      </c>
      <c r="H90" s="9">
        <f>VLOOKUP($A90,'k=2'!$A$2:$E$154,4,0)</f>
        <v>221</v>
      </c>
      <c r="I90" s="9">
        <f>VLOOKUP($A90,'k=3'!$A$2:$E$154,4,0)</f>
        <v>96</v>
      </c>
      <c r="J90" s="9">
        <f>VLOOKUP($A90,'k=4'!$A$2:$E$154,4,0)</f>
        <v>36</v>
      </c>
      <c r="K90" s="9">
        <f>VLOOKUP($A90,'k=5'!$A$2:$E$154,4,0)</f>
        <v>14</v>
      </c>
      <c r="L90" s="9">
        <f>VLOOKUP($A90,'k=6'!$A$2:$E$154,4,0)</f>
        <v>1</v>
      </c>
      <c r="N90" s="13">
        <f t="shared" si="1"/>
        <v>0.05405641457</v>
      </c>
      <c r="P90" s="26" t="s">
        <v>136</v>
      </c>
      <c r="Q90" s="13">
        <v>0.06777526323594828</v>
      </c>
    </row>
    <row r="91">
      <c r="A91" s="26" t="s">
        <v>44</v>
      </c>
      <c r="B91" s="13">
        <f>VLOOKUP($A91,'k=2'!$A$2:$E$154,5,0)</f>
        <v>0.01127586207</v>
      </c>
      <c r="C91" s="13">
        <f>VLOOKUP($A91,'k=3'!$A$2:$E$154,5,0)</f>
        <v>0.04187931034</v>
      </c>
      <c r="D91" s="13">
        <f>VLOOKUP($A91,'k=4'!$A$2:$E$154,5,0)</f>
        <v>0.09217241379</v>
      </c>
      <c r="E91" s="13">
        <f>VLOOKUP($A91,'k=5'!$A$2:$E$154,5,0)</f>
        <v>0.1635172414</v>
      </c>
      <c r="F91" s="13">
        <f>VLOOKUP($A91,'k=6'!$A$2:$E$154,5,0)</f>
        <v>0.1965</v>
      </c>
      <c r="H91" s="9">
        <f>VLOOKUP($A91,'k=2'!$A$2:$E$154,4,0)</f>
        <v>212</v>
      </c>
      <c r="I91" s="9">
        <f>VLOOKUP($A91,'k=3'!$A$2:$E$154,4,0)</f>
        <v>93</v>
      </c>
      <c r="J91" s="9">
        <f>VLOOKUP($A91,'k=4'!$A$2:$E$154,4,0)</f>
        <v>40</v>
      </c>
      <c r="K91" s="9">
        <f>VLOOKUP($A91,'k=5'!$A$2:$E$154,4,0)</f>
        <v>17</v>
      </c>
      <c r="L91" s="9">
        <f>VLOOKUP($A91,'k=6'!$A$2:$E$154,4,0)</f>
        <v>7</v>
      </c>
      <c r="N91" s="13">
        <f t="shared" si="1"/>
        <v>0.03828576769</v>
      </c>
      <c r="P91" s="26" t="s">
        <v>108</v>
      </c>
      <c r="Q91" s="13">
        <v>0.0682229082344331</v>
      </c>
    </row>
    <row r="92">
      <c r="A92" s="26" t="s">
        <v>63</v>
      </c>
      <c r="B92" s="13">
        <f>VLOOKUP($A92,'k=2'!$A$2:$E$154,5,0)</f>
        <v>0.01682539683</v>
      </c>
      <c r="C92" s="13">
        <f>VLOOKUP($A92,'k=3'!$A$2:$E$154,5,0)</f>
        <v>0.03141269841</v>
      </c>
      <c r="D92" s="13">
        <f>VLOOKUP($A92,'k=4'!$A$2:$E$154,5,0)</f>
        <v>0.06025396825</v>
      </c>
      <c r="E92" s="13">
        <f>VLOOKUP($A92,'k=5'!$A$2:$E$154,5,0)</f>
        <v>0.1904603175</v>
      </c>
      <c r="F92" s="13">
        <f>VLOOKUP($A92,'k=6'!$A$2:$E$154,5,0)</f>
        <v>1</v>
      </c>
      <c r="H92" s="9">
        <f>VLOOKUP($A92,'k=2'!$A$2:$E$154,4,0)</f>
        <v>190</v>
      </c>
      <c r="I92" s="9">
        <f>VLOOKUP($A92,'k=3'!$A$2:$E$154,4,0)</f>
        <v>78</v>
      </c>
      <c r="J92" s="9">
        <f>VLOOKUP($A92,'k=4'!$A$2:$E$154,4,0)</f>
        <v>30</v>
      </c>
      <c r="K92" s="9">
        <f>VLOOKUP($A92,'k=5'!$A$2:$E$154,4,0)</f>
        <v>9</v>
      </c>
      <c r="L92" s="9">
        <f>VLOOKUP($A92,'k=6'!$A$2:$E$154,4,0)</f>
        <v>0</v>
      </c>
      <c r="N92" s="13">
        <f t="shared" si="1"/>
        <v>0.02986572566</v>
      </c>
      <c r="P92" s="26" t="s">
        <v>91</v>
      </c>
      <c r="Q92" s="13">
        <v>0.0691531312325487</v>
      </c>
    </row>
    <row r="93">
      <c r="A93" s="26" t="s">
        <v>97</v>
      </c>
      <c r="B93" s="13">
        <f>VLOOKUP($A93,'k=2'!$A$2:$E$154,5,0)</f>
        <v>0.03118333333</v>
      </c>
      <c r="C93" s="13">
        <f>VLOOKUP($A93,'k=3'!$A$2:$E$154,5,0)</f>
        <v>0.064</v>
      </c>
      <c r="D93" s="13">
        <f>VLOOKUP($A93,'k=4'!$A$2:$E$154,5,0)</f>
        <v>0.1126</v>
      </c>
      <c r="E93" s="13">
        <f>VLOOKUP($A93,'k=5'!$A$2:$E$154,5,0)</f>
        <v>0.30485</v>
      </c>
      <c r="F93" s="13">
        <f>VLOOKUP($A93,'k=6'!$A$2:$E$154,5,0)</f>
        <v>0.4742833333</v>
      </c>
      <c r="H93" s="9">
        <f>VLOOKUP($A93,'k=2'!$A$2:$E$154,4,0)</f>
        <v>348</v>
      </c>
      <c r="I93" s="9">
        <f>VLOOKUP($A93,'k=3'!$A$2:$E$154,4,0)</f>
        <v>164</v>
      </c>
      <c r="J93" s="9">
        <f>VLOOKUP($A93,'k=4'!$A$2:$E$154,4,0)</f>
        <v>77</v>
      </c>
      <c r="K93" s="9">
        <f>VLOOKUP($A93,'k=5'!$A$2:$E$154,4,0)</f>
        <v>29</v>
      </c>
      <c r="L93" s="9">
        <f>VLOOKUP($A93,'k=6'!$A$2:$E$154,4,0)</f>
        <v>10</v>
      </c>
      <c r="N93" s="13">
        <f t="shared" si="1"/>
        <v>0.06942911359</v>
      </c>
      <c r="P93" s="26" t="s">
        <v>105</v>
      </c>
      <c r="Q93" s="13">
        <v>0.06940219840240296</v>
      </c>
    </row>
    <row r="94">
      <c r="A94" s="26" t="s">
        <v>158</v>
      </c>
      <c r="B94" s="13">
        <f>VLOOKUP($A94,'k=2'!$A$2:$E$154,5,0)</f>
        <v>0.05888571429</v>
      </c>
      <c r="C94" s="13">
        <f>VLOOKUP($A94,'k=3'!$A$2:$E$154,5,0)</f>
        <v>0.1256714286</v>
      </c>
      <c r="D94" s="13">
        <f>VLOOKUP($A94,'k=4'!$A$2:$E$154,5,0)</f>
        <v>0.2756428571</v>
      </c>
      <c r="E94" s="13">
        <f>VLOOKUP($A94,'k=5'!$A$2:$E$154,5,0)</f>
        <v>0.4585428571</v>
      </c>
      <c r="F94" s="13">
        <f>VLOOKUP($A94,'k=6'!$A$2:$E$154,5,0)</f>
        <v>0.7121571429</v>
      </c>
      <c r="H94" s="9">
        <f>VLOOKUP($A94,'k=2'!$A$2:$E$154,4,0)</f>
        <v>210</v>
      </c>
      <c r="I94" s="9">
        <f>VLOOKUP($A94,'k=3'!$A$2:$E$154,4,0)</f>
        <v>77</v>
      </c>
      <c r="J94" s="9">
        <f>VLOOKUP($A94,'k=4'!$A$2:$E$154,4,0)</f>
        <v>25</v>
      </c>
      <c r="K94" s="9">
        <f>VLOOKUP($A94,'k=5'!$A$2:$E$154,4,0)</f>
        <v>7</v>
      </c>
      <c r="L94" s="9">
        <f>VLOOKUP($A94,'k=6'!$A$2:$E$154,4,0)</f>
        <v>1</v>
      </c>
      <c r="N94" s="13">
        <f t="shared" si="1"/>
        <v>0.1026741518</v>
      </c>
      <c r="P94" s="26" t="s">
        <v>97</v>
      </c>
      <c r="Q94" s="13">
        <v>0.06942911358811038</v>
      </c>
    </row>
    <row r="95">
      <c r="A95" s="26" t="s">
        <v>156</v>
      </c>
      <c r="B95" s="13">
        <f>VLOOKUP($A95,'k=2'!$A$2:$E$154,5,0)</f>
        <v>0.05761363636</v>
      </c>
      <c r="C95" s="13">
        <f>VLOOKUP($A95,'k=3'!$A$2:$E$154,5,0)</f>
        <v>0.1203636364</v>
      </c>
      <c r="D95" s="13">
        <f>VLOOKUP($A95,'k=4'!$A$2:$E$154,5,0)</f>
        <v>0.2145909091</v>
      </c>
      <c r="E95" s="13">
        <f>VLOOKUP($A95,'k=5'!$A$2:$E$154,5,0)</f>
        <v>0.2269090909</v>
      </c>
      <c r="F95" s="13">
        <f>VLOOKUP($A95,'k=6'!$A$2:$E$154,5,0)</f>
        <v>0.4141590909</v>
      </c>
      <c r="H95" s="9">
        <f>VLOOKUP($A95,'k=2'!$A$2:$E$154,4,0)</f>
        <v>144</v>
      </c>
      <c r="I95" s="9">
        <f>VLOOKUP($A95,'k=3'!$A$2:$E$154,4,0)</f>
        <v>54</v>
      </c>
      <c r="J95" s="9">
        <f>VLOOKUP($A95,'k=4'!$A$2:$E$154,4,0)</f>
        <v>19</v>
      </c>
      <c r="K95" s="9">
        <f>VLOOKUP($A95,'k=5'!$A$2:$E$154,4,0)</f>
        <v>8</v>
      </c>
      <c r="L95" s="9">
        <f>VLOOKUP($A95,'k=6'!$A$2:$E$154,4,0)</f>
        <v>2</v>
      </c>
      <c r="N95" s="13">
        <f t="shared" si="1"/>
        <v>0.09478774529</v>
      </c>
      <c r="P95" s="26" t="s">
        <v>117</v>
      </c>
      <c r="Q95" s="13">
        <v>0.07196261459697575</v>
      </c>
    </row>
    <row r="96">
      <c r="A96" s="26" t="s">
        <v>117</v>
      </c>
      <c r="B96" s="13">
        <f>VLOOKUP($A96,'k=2'!$A$2:$E$154,5,0)</f>
        <v>0.03790990991</v>
      </c>
      <c r="C96" s="13">
        <f>VLOOKUP($A96,'k=3'!$A$2:$E$154,5,0)</f>
        <v>0.07927927928</v>
      </c>
      <c r="D96" s="13">
        <f>VLOOKUP($A96,'k=4'!$A$2:$E$154,5,0)</f>
        <v>0.2296756757</v>
      </c>
      <c r="E96" s="13">
        <f>VLOOKUP($A96,'k=5'!$A$2:$E$154,5,0)</f>
        <v>0.4642522523</v>
      </c>
      <c r="F96" s="13">
        <f>VLOOKUP($A96,'k=6'!$A$2:$E$154,5,0)</f>
        <v>0.5271711712</v>
      </c>
      <c r="H96" s="9">
        <f>VLOOKUP($A96,'k=2'!$A$2:$E$154,4,0)</f>
        <v>150</v>
      </c>
      <c r="I96" s="9">
        <f>VLOOKUP($A96,'k=3'!$A$2:$E$154,4,0)</f>
        <v>55</v>
      </c>
      <c r="J96" s="9">
        <f>VLOOKUP($A96,'k=4'!$A$2:$E$154,4,0)</f>
        <v>17</v>
      </c>
      <c r="K96" s="9">
        <f>VLOOKUP($A96,'k=5'!$A$2:$E$154,4,0)</f>
        <v>4</v>
      </c>
      <c r="L96" s="9">
        <f>VLOOKUP($A96,'k=6'!$A$2:$E$154,4,0)</f>
        <v>1</v>
      </c>
      <c r="N96" s="13">
        <f t="shared" si="1"/>
        <v>0.0719626146</v>
      </c>
      <c r="P96" s="26" t="s">
        <v>113</v>
      </c>
      <c r="Q96" s="13">
        <v>0.07449109977324249</v>
      </c>
    </row>
    <row r="97">
      <c r="A97" s="26" t="s">
        <v>136</v>
      </c>
      <c r="B97" s="13">
        <f>VLOOKUP($A97,'k=2'!$A$2:$E$154,5,0)</f>
        <v>0.04665454545</v>
      </c>
      <c r="C97" s="13">
        <f>VLOOKUP($A97,'k=3'!$A$2:$E$154,5,0)</f>
        <v>0.08725454545</v>
      </c>
      <c r="D97" s="13">
        <f>VLOOKUP($A97,'k=4'!$A$2:$E$154,5,0)</f>
        <v>0.09596363636</v>
      </c>
      <c r="E97" s="13">
        <f>VLOOKUP($A97,'k=5'!$A$2:$E$154,5,0)</f>
        <v>0.1054181818</v>
      </c>
      <c r="F97" s="13">
        <f>VLOOKUP($A97,'k=6'!$A$2:$E$154,5,0)</f>
        <v>0.1095636364</v>
      </c>
      <c r="H97" s="9">
        <f>VLOOKUP($A97,'k=2'!$A$2:$E$154,4,0)</f>
        <v>335</v>
      </c>
      <c r="I97" s="9">
        <f>VLOOKUP($A97,'k=3'!$A$2:$E$154,4,0)</f>
        <v>153</v>
      </c>
      <c r="J97" s="9">
        <f>VLOOKUP($A97,'k=4'!$A$2:$E$154,4,0)</f>
        <v>72</v>
      </c>
      <c r="K97" s="9">
        <f>VLOOKUP($A97,'k=5'!$A$2:$E$154,4,0)</f>
        <v>36</v>
      </c>
      <c r="L97" s="9">
        <f>VLOOKUP($A97,'k=6'!$A$2:$E$154,4,0)</f>
        <v>17</v>
      </c>
      <c r="N97" s="13">
        <f t="shared" si="1"/>
        <v>0.06777526324</v>
      </c>
      <c r="P97" s="26" t="s">
        <v>121</v>
      </c>
      <c r="Q97" s="13">
        <v>0.07490178710178694</v>
      </c>
    </row>
    <row r="98">
      <c r="A98" s="26" t="s">
        <v>169</v>
      </c>
      <c r="B98" s="13">
        <f>VLOOKUP($A98,'k=2'!$A$2:$E$154,5,0)</f>
        <v>0.06822807018</v>
      </c>
      <c r="C98" s="13">
        <f>VLOOKUP($A98,'k=3'!$A$2:$E$154,5,0)</f>
        <v>0.1534385965</v>
      </c>
      <c r="D98" s="13">
        <f>VLOOKUP($A98,'k=4'!$A$2:$E$154,5,0)</f>
        <v>0.2432807018</v>
      </c>
      <c r="E98" s="13">
        <f>VLOOKUP($A98,'k=5'!$A$2:$E$154,5,0)</f>
        <v>0.1364912281</v>
      </c>
      <c r="F98" s="13">
        <f>VLOOKUP($A98,'k=6'!$A$2:$E$154,5,0)</f>
        <v>0.1625789474</v>
      </c>
      <c r="H98" s="9">
        <f>VLOOKUP($A98,'k=2'!$A$2:$E$154,4,0)</f>
        <v>132</v>
      </c>
      <c r="I98" s="9">
        <f>VLOOKUP($A98,'k=3'!$A$2:$E$154,4,0)</f>
        <v>44</v>
      </c>
      <c r="J98" s="9">
        <f>VLOOKUP($A98,'k=4'!$A$2:$E$154,4,0)</f>
        <v>14</v>
      </c>
      <c r="K98" s="9">
        <f>VLOOKUP($A98,'k=5'!$A$2:$E$154,4,0)</f>
        <v>7</v>
      </c>
      <c r="L98" s="9">
        <f>VLOOKUP($A98,'k=6'!$A$2:$E$154,4,0)</f>
        <v>3</v>
      </c>
      <c r="N98" s="13">
        <f t="shared" si="1"/>
        <v>0.1030325439</v>
      </c>
      <c r="P98" s="26" t="s">
        <v>149</v>
      </c>
      <c r="Q98" s="13">
        <v>0.07552536796536788</v>
      </c>
    </row>
    <row r="99">
      <c r="A99" s="26" t="s">
        <v>146</v>
      </c>
      <c r="B99" s="13">
        <f>VLOOKUP($A99,'k=2'!$A$2:$E$154,5,0)</f>
        <v>0.05076923077</v>
      </c>
      <c r="C99" s="13">
        <f>VLOOKUP($A99,'k=3'!$A$2:$E$154,5,0)</f>
        <v>0.1046461538</v>
      </c>
      <c r="D99" s="13">
        <f>VLOOKUP($A99,'k=4'!$A$2:$E$154,5,0)</f>
        <v>0.1564</v>
      </c>
      <c r="E99" s="13">
        <f>VLOOKUP($A99,'k=5'!$A$2:$E$154,5,0)</f>
        <v>0.3251384615</v>
      </c>
      <c r="F99" s="13">
        <f>VLOOKUP($A99,'k=6'!$A$2:$E$154,5,0)</f>
        <v>0.4713538462</v>
      </c>
      <c r="H99" s="9">
        <f>VLOOKUP($A99,'k=2'!$A$2:$E$154,4,0)</f>
        <v>256</v>
      </c>
      <c r="I99" s="9">
        <f>VLOOKUP($A99,'k=3'!$A$2:$E$154,4,0)</f>
        <v>106</v>
      </c>
      <c r="J99" s="9">
        <f>VLOOKUP($A99,'k=4'!$A$2:$E$154,4,0)</f>
        <v>44</v>
      </c>
      <c r="K99" s="9">
        <f>VLOOKUP($A99,'k=5'!$A$2:$E$154,4,0)</f>
        <v>15</v>
      </c>
      <c r="L99" s="9">
        <f>VLOOKUP($A99,'k=6'!$A$2:$E$154,4,0)</f>
        <v>5</v>
      </c>
      <c r="N99" s="13">
        <f t="shared" si="1"/>
        <v>0.08968277356</v>
      </c>
      <c r="P99" s="26" t="s">
        <v>115</v>
      </c>
      <c r="Q99" s="13">
        <v>0.07558716660224193</v>
      </c>
    </row>
    <row r="100">
      <c r="A100" s="26" t="s">
        <v>91</v>
      </c>
      <c r="B100" s="13">
        <f>VLOOKUP($A100,'k=2'!$A$2:$E$154,5,0)</f>
        <v>0.02892173913</v>
      </c>
      <c r="C100" s="13">
        <f>VLOOKUP($A100,'k=3'!$A$2:$E$154,5,0)</f>
        <v>0.07046956522</v>
      </c>
      <c r="D100" s="13">
        <f>VLOOKUP($A100,'k=4'!$A$2:$E$154,5,0)</f>
        <v>0.1516347826</v>
      </c>
      <c r="E100" s="13">
        <f>VLOOKUP($A100,'k=5'!$A$2:$E$154,5,0)</f>
        <v>0.1957391304</v>
      </c>
      <c r="F100" s="13">
        <f>VLOOKUP($A100,'k=6'!$A$2:$E$154,5,0)</f>
        <v>0.296626087</v>
      </c>
      <c r="H100" s="9">
        <f>VLOOKUP($A100,'k=2'!$A$2:$E$154,4,0)</f>
        <v>479</v>
      </c>
      <c r="I100" s="9">
        <f>VLOOKUP($A100,'k=3'!$A$2:$E$154,4,0)</f>
        <v>225</v>
      </c>
      <c r="J100" s="9">
        <f>VLOOKUP($A100,'k=4'!$A$2:$E$154,4,0)</f>
        <v>100</v>
      </c>
      <c r="K100" s="9">
        <f>VLOOKUP($A100,'k=5'!$A$2:$E$154,4,0)</f>
        <v>47</v>
      </c>
      <c r="L100" s="9">
        <f>VLOOKUP($A100,'k=6'!$A$2:$E$154,4,0)</f>
        <v>21</v>
      </c>
      <c r="N100" s="13">
        <f t="shared" si="1"/>
        <v>0.06915313123</v>
      </c>
      <c r="P100" s="26" t="s">
        <v>120</v>
      </c>
      <c r="Q100" s="13">
        <v>0.07643092014368603</v>
      </c>
    </row>
    <row r="101">
      <c r="A101" s="26" t="s">
        <v>131</v>
      </c>
      <c r="B101" s="13">
        <f>VLOOKUP($A101,'k=2'!$A$2:$E$154,5,0)</f>
        <v>0.04496</v>
      </c>
      <c r="C101" s="13">
        <f>VLOOKUP($A101,'k=3'!$A$2:$E$154,5,0)</f>
        <v>0.1213333333</v>
      </c>
      <c r="D101" s="13">
        <f>VLOOKUP($A101,'k=4'!$A$2:$E$154,5,0)</f>
        <v>0.1776</v>
      </c>
      <c r="E101" s="13">
        <f>VLOOKUP($A101,'k=5'!$A$2:$E$154,5,0)</f>
        <v>0.25664</v>
      </c>
      <c r="F101" s="13">
        <f>VLOOKUP($A101,'k=6'!$A$2:$E$154,5,0)</f>
        <v>0.39088</v>
      </c>
      <c r="H101" s="9">
        <f>VLOOKUP($A101,'k=2'!$A$2:$E$154,4,0)</f>
        <v>222</v>
      </c>
      <c r="I101" s="9">
        <f>VLOOKUP($A101,'k=3'!$A$2:$E$154,4,0)</f>
        <v>87</v>
      </c>
      <c r="J101" s="9">
        <f>VLOOKUP($A101,'k=4'!$A$2:$E$154,4,0)</f>
        <v>35</v>
      </c>
      <c r="K101" s="9">
        <f>VLOOKUP($A101,'k=5'!$A$2:$E$154,4,0)</f>
        <v>13</v>
      </c>
      <c r="L101" s="9">
        <f>VLOOKUP($A101,'k=6'!$A$2:$E$154,4,0)</f>
        <v>4</v>
      </c>
      <c r="N101" s="13">
        <f t="shared" si="1"/>
        <v>0.08768132964</v>
      </c>
      <c r="P101" s="26" t="s">
        <v>135</v>
      </c>
      <c r="Q101" s="13">
        <v>0.0778108852583585</v>
      </c>
    </row>
    <row r="102">
      <c r="A102" s="26" t="s">
        <v>95</v>
      </c>
      <c r="B102" s="13">
        <f>VLOOKUP($A102,'k=2'!$A$2:$E$154,5,0)</f>
        <v>0.02969620253</v>
      </c>
      <c r="C102" s="13">
        <f>VLOOKUP($A102,'k=3'!$A$2:$E$154,5,0)</f>
        <v>0.06501265823</v>
      </c>
      <c r="D102" s="13">
        <f>VLOOKUP($A102,'k=4'!$A$2:$E$154,5,0)</f>
        <v>0.1036962025</v>
      </c>
      <c r="E102" s="13">
        <f>VLOOKUP($A102,'k=5'!$A$2:$E$154,5,0)</f>
        <v>0.09756962025</v>
      </c>
      <c r="F102" s="13">
        <f>VLOOKUP($A102,'k=6'!$A$2:$E$154,5,0)</f>
        <v>0.1798481013</v>
      </c>
      <c r="H102" s="9">
        <f>VLOOKUP($A102,'k=2'!$A$2:$E$154,4,0)</f>
        <v>211</v>
      </c>
      <c r="I102" s="9">
        <f>VLOOKUP($A102,'k=3'!$A$2:$E$154,4,0)</f>
        <v>90</v>
      </c>
      <c r="J102" s="9">
        <f>VLOOKUP($A102,'k=4'!$A$2:$E$154,4,0)</f>
        <v>39</v>
      </c>
      <c r="K102" s="9">
        <f>VLOOKUP($A102,'k=5'!$A$2:$E$154,4,0)</f>
        <v>19</v>
      </c>
      <c r="L102" s="9">
        <f>VLOOKUP($A102,'k=6'!$A$2:$E$154,4,0)</f>
        <v>7</v>
      </c>
      <c r="N102" s="13">
        <f t="shared" si="1"/>
        <v>0.05266106384</v>
      </c>
      <c r="P102" s="26" t="s">
        <v>163</v>
      </c>
      <c r="Q102" s="13">
        <v>0.07881075753308917</v>
      </c>
    </row>
    <row r="103">
      <c r="A103" s="26" t="s">
        <v>142</v>
      </c>
      <c r="B103" s="13">
        <f>VLOOKUP($A103,'k=2'!$A$2:$E$154,5,0)</f>
        <v>0.04917391304</v>
      </c>
      <c r="C103" s="13">
        <f>VLOOKUP($A103,'k=3'!$A$2:$E$154,5,0)</f>
        <v>0.1164565217</v>
      </c>
      <c r="D103" s="13">
        <f>VLOOKUP($A103,'k=4'!$A$2:$E$154,5,0)</f>
        <v>0.2755217391</v>
      </c>
      <c r="E103" s="13">
        <f>VLOOKUP($A103,'k=5'!$A$2:$E$154,5,0)</f>
        <v>0.3109782609</v>
      </c>
      <c r="F103" s="13">
        <f>VLOOKUP($A103,'k=6'!$A$2:$E$154,5,0)</f>
        <v>0.4846304348</v>
      </c>
      <c r="H103" s="9">
        <f>VLOOKUP($A103,'k=2'!$A$2:$E$154,4,0)</f>
        <v>314</v>
      </c>
      <c r="I103" s="9">
        <f>VLOOKUP($A103,'k=3'!$A$2:$E$154,4,0)</f>
        <v>134</v>
      </c>
      <c r="J103" s="9">
        <f>VLOOKUP($A103,'k=4'!$A$2:$E$154,4,0)</f>
        <v>50</v>
      </c>
      <c r="K103" s="9">
        <f>VLOOKUP($A103,'k=5'!$A$2:$E$154,4,0)</f>
        <v>21</v>
      </c>
      <c r="L103" s="9">
        <f>VLOOKUP($A103,'k=6'!$A$2:$E$154,4,0)</f>
        <v>7</v>
      </c>
      <c r="N103" s="13">
        <f t="shared" si="1"/>
        <v>0.1040776161</v>
      </c>
      <c r="P103" s="26" t="s">
        <v>140</v>
      </c>
      <c r="Q103" s="13">
        <v>0.08288534585753711</v>
      </c>
    </row>
    <row r="104">
      <c r="A104" s="26" t="s">
        <v>50</v>
      </c>
      <c r="B104" s="13">
        <f>VLOOKUP($A104,'k=2'!$A$2:$E$154,5,0)</f>
        <v>0.01301886792</v>
      </c>
      <c r="C104" s="13">
        <f>VLOOKUP($A104,'k=3'!$A$2:$E$154,5,0)</f>
        <v>0.003150943396</v>
      </c>
      <c r="D104" s="13">
        <f>VLOOKUP($A104,'k=4'!$A$2:$E$154,5,0)</f>
        <v>0.001150943396</v>
      </c>
      <c r="E104" s="13">
        <f>VLOOKUP($A104,'k=5'!$A$2:$E$154,5,0)</f>
        <v>0.001981132075</v>
      </c>
      <c r="F104" s="13">
        <f>VLOOKUP($A104,'k=6'!$A$2:$E$154,5,0)</f>
        <v>0.01683018868</v>
      </c>
      <c r="H104" s="9">
        <f>VLOOKUP($A104,'k=2'!$A$2:$E$154,4,0)</f>
        <v>221</v>
      </c>
      <c r="I104" s="9">
        <f>VLOOKUP($A104,'k=3'!$A$2:$E$154,4,0)</f>
        <v>116</v>
      </c>
      <c r="J104" s="9">
        <f>VLOOKUP($A104,'k=4'!$A$2:$E$154,4,0)</f>
        <v>61</v>
      </c>
      <c r="K104" s="9">
        <f>VLOOKUP($A104,'k=5'!$A$2:$E$154,4,0)</f>
        <v>32</v>
      </c>
      <c r="L104" s="9">
        <f>VLOOKUP($A104,'k=6'!$A$2:$E$154,4,0)</f>
        <v>15</v>
      </c>
      <c r="N104" s="13">
        <f t="shared" si="1"/>
        <v>0.008154462582</v>
      </c>
      <c r="P104" s="26" t="s">
        <v>152</v>
      </c>
      <c r="Q104" s="13">
        <v>0.08364631843926981</v>
      </c>
    </row>
    <row r="105">
      <c r="A105" s="26" t="s">
        <v>178</v>
      </c>
      <c r="B105" s="13">
        <f>VLOOKUP($A105,'k=2'!$A$2:$E$154,5,0)</f>
        <v>0.082</v>
      </c>
      <c r="C105" s="13">
        <f>VLOOKUP($A105,'k=3'!$A$2:$E$154,5,0)</f>
        <v>0.160893617</v>
      </c>
      <c r="D105" s="13">
        <f>VLOOKUP($A105,'k=4'!$A$2:$E$154,5,0)</f>
        <v>0.2863404255</v>
      </c>
      <c r="E105" s="13">
        <f>VLOOKUP($A105,'k=5'!$A$2:$E$154,5,0)</f>
        <v>0.2539361702</v>
      </c>
      <c r="F105" s="13">
        <f>VLOOKUP($A105,'k=6'!$A$2:$E$154,5,0)</f>
        <v>0.4267021277</v>
      </c>
      <c r="H105" s="9">
        <f>VLOOKUP($A105,'k=2'!$A$2:$E$154,4,0)</f>
        <v>238</v>
      </c>
      <c r="I105" s="9">
        <f>VLOOKUP($A105,'k=3'!$A$2:$E$154,4,0)</f>
        <v>85</v>
      </c>
      <c r="J105" s="9">
        <f>VLOOKUP($A105,'k=4'!$A$2:$E$154,4,0)</f>
        <v>27</v>
      </c>
      <c r="K105" s="9">
        <f>VLOOKUP($A105,'k=5'!$A$2:$E$154,4,0)</f>
        <v>11</v>
      </c>
      <c r="L105" s="9">
        <f>VLOOKUP($A105,'k=6'!$A$2:$E$154,4,0)</f>
        <v>3</v>
      </c>
      <c r="N105" s="13">
        <f t="shared" si="1"/>
        <v>0.1236169044</v>
      </c>
      <c r="P105" s="26" t="s">
        <v>125</v>
      </c>
      <c r="Q105" s="13">
        <v>0.08498235468564626</v>
      </c>
    </row>
    <row r="106">
      <c r="A106" s="26" t="s">
        <v>120</v>
      </c>
      <c r="B106" s="13">
        <f>VLOOKUP($A106,'k=2'!$A$2:$E$154,5,0)</f>
        <v>0.03971428571</v>
      </c>
      <c r="C106" s="13">
        <f>VLOOKUP($A106,'k=3'!$A$2:$E$154,5,0)</f>
        <v>0.09776623377</v>
      </c>
      <c r="D106" s="13">
        <f>VLOOKUP($A106,'k=4'!$A$2:$E$154,5,0)</f>
        <v>0.2744935065</v>
      </c>
      <c r="E106" s="13">
        <f>VLOOKUP($A106,'k=5'!$A$2:$E$154,5,0)</f>
        <v>0.3296363636</v>
      </c>
      <c r="F106" s="13">
        <f>VLOOKUP($A106,'k=6'!$A$2:$E$154,5,0)</f>
        <v>0.2544415584</v>
      </c>
      <c r="H106" s="9">
        <f>VLOOKUP($A106,'k=2'!$A$2:$E$154,4,0)</f>
        <v>127</v>
      </c>
      <c r="I106" s="9">
        <f>VLOOKUP($A106,'k=3'!$A$2:$E$154,4,0)</f>
        <v>43</v>
      </c>
      <c r="J106" s="9">
        <f>VLOOKUP($A106,'k=4'!$A$2:$E$154,4,0)</f>
        <v>12</v>
      </c>
      <c r="K106" s="9">
        <f>VLOOKUP($A106,'k=5'!$A$2:$E$154,4,0)</f>
        <v>4</v>
      </c>
      <c r="L106" s="9">
        <f>VLOOKUP($A106,'k=6'!$A$2:$E$154,4,0)</f>
        <v>2</v>
      </c>
      <c r="N106" s="13">
        <f t="shared" si="1"/>
        <v>0.07643092014</v>
      </c>
      <c r="P106" s="26" t="s">
        <v>122</v>
      </c>
      <c r="Q106" s="13">
        <v>0.0860823370072855</v>
      </c>
    </row>
    <row r="107">
      <c r="A107" s="26" t="s">
        <v>88</v>
      </c>
      <c r="B107" s="13">
        <f>VLOOKUP($A107,'k=2'!$A$2:$E$154,5,0)</f>
        <v>0.02836090226</v>
      </c>
      <c r="C107" s="13">
        <f>VLOOKUP($A107,'k=3'!$A$2:$E$154,5,0)</f>
        <v>0.05141353383</v>
      </c>
      <c r="D107" s="13">
        <f>VLOOKUP($A107,'k=4'!$A$2:$E$154,5,0)</f>
        <v>0.1191278195</v>
      </c>
      <c r="E107" s="13">
        <f>VLOOKUP($A107,'k=5'!$A$2:$E$154,5,0)</f>
        <v>0.2555037594</v>
      </c>
      <c r="F107" s="13">
        <f>VLOOKUP($A107,'k=6'!$A$2:$E$154,5,0)</f>
        <v>0.353518797</v>
      </c>
      <c r="H107" s="9">
        <f>VLOOKUP($A107,'k=2'!$A$2:$E$154,4,0)</f>
        <v>264</v>
      </c>
      <c r="I107" s="9">
        <f>VLOOKUP($A107,'k=3'!$A$2:$E$154,4,0)</f>
        <v>107</v>
      </c>
      <c r="J107" s="9">
        <f>VLOOKUP($A107,'k=4'!$A$2:$E$154,4,0)</f>
        <v>41</v>
      </c>
      <c r="K107" s="9">
        <f>VLOOKUP($A107,'k=5'!$A$2:$E$154,4,0)</f>
        <v>14</v>
      </c>
      <c r="L107" s="9">
        <f>VLOOKUP($A107,'k=6'!$A$2:$E$154,4,0)</f>
        <v>5</v>
      </c>
      <c r="N107" s="13">
        <f t="shared" si="1"/>
        <v>0.0538687089</v>
      </c>
      <c r="P107" s="26" t="s">
        <v>89</v>
      </c>
      <c r="Q107" s="13">
        <v>0.08715444555444542</v>
      </c>
    </row>
    <row r="108">
      <c r="A108" s="26" t="s">
        <v>151</v>
      </c>
      <c r="B108" s="13">
        <f>VLOOKUP($A108,'k=2'!$A$2:$E$154,5,0)</f>
        <v>0.05374358974</v>
      </c>
      <c r="C108" s="13">
        <f>VLOOKUP($A108,'k=3'!$A$2:$E$154,5,0)</f>
        <v>0.1348205128</v>
      </c>
      <c r="D108" s="13">
        <f>VLOOKUP($A108,'k=4'!$A$2:$E$154,5,0)</f>
        <v>0.2745641026</v>
      </c>
      <c r="E108" s="13">
        <f>VLOOKUP($A108,'k=5'!$A$2:$E$154,5,0)</f>
        <v>0.5373076923</v>
      </c>
      <c r="F108" s="13">
        <f>VLOOKUP($A108,'k=6'!$A$2:$E$154,5,0)</f>
        <v>1</v>
      </c>
      <c r="H108" s="9">
        <f>VLOOKUP($A108,'k=2'!$A$2:$E$154,4,0)</f>
        <v>149</v>
      </c>
      <c r="I108" s="9">
        <f>VLOOKUP($A108,'k=3'!$A$2:$E$154,4,0)</f>
        <v>54</v>
      </c>
      <c r="J108" s="9">
        <f>VLOOKUP($A108,'k=4'!$A$2:$E$154,4,0)</f>
        <v>18</v>
      </c>
      <c r="K108" s="9">
        <f>VLOOKUP($A108,'k=5'!$A$2:$E$154,4,0)</f>
        <v>4</v>
      </c>
      <c r="L108" s="9">
        <f>VLOOKUP($A108,'k=6'!$A$2:$E$154,4,0)</f>
        <v>0</v>
      </c>
      <c r="N108" s="13">
        <f t="shared" si="1"/>
        <v>0.09946438746</v>
      </c>
      <c r="P108" s="26" t="s">
        <v>131</v>
      </c>
      <c r="Q108" s="13">
        <v>0.08768132963988913</v>
      </c>
    </row>
    <row r="109">
      <c r="A109" s="26" t="s">
        <v>167</v>
      </c>
      <c r="B109" s="13">
        <f>VLOOKUP($A109,'k=2'!$A$2:$E$154,5,0)</f>
        <v>0.06420560748</v>
      </c>
      <c r="C109" s="13">
        <f>VLOOKUP($A109,'k=3'!$A$2:$E$154,5,0)</f>
        <v>0.1713831776</v>
      </c>
      <c r="D109" s="13">
        <f>VLOOKUP($A109,'k=4'!$A$2:$E$154,5,0)</f>
        <v>0.3141682243</v>
      </c>
      <c r="E109" s="13">
        <f>VLOOKUP($A109,'k=5'!$A$2:$E$154,5,0)</f>
        <v>0.3740747664</v>
      </c>
      <c r="F109" s="13">
        <f>VLOOKUP($A109,'k=6'!$A$2:$E$154,5,0)</f>
        <v>0.6491775701</v>
      </c>
      <c r="H109" s="9">
        <f>VLOOKUP($A109,'k=2'!$A$2:$E$154,4,0)</f>
        <v>228</v>
      </c>
      <c r="I109" s="9">
        <f>VLOOKUP($A109,'k=3'!$A$2:$E$154,4,0)</f>
        <v>85</v>
      </c>
      <c r="J109" s="9">
        <f>VLOOKUP($A109,'k=4'!$A$2:$E$154,4,0)</f>
        <v>29</v>
      </c>
      <c r="K109" s="9">
        <f>VLOOKUP($A109,'k=5'!$A$2:$E$154,4,0)</f>
        <v>11</v>
      </c>
      <c r="L109" s="9">
        <f>VLOOKUP($A109,'k=6'!$A$2:$E$154,4,0)</f>
        <v>2</v>
      </c>
      <c r="N109" s="13">
        <f t="shared" si="1"/>
        <v>0.1231845202</v>
      </c>
      <c r="P109" s="26" t="s">
        <v>127</v>
      </c>
      <c r="Q109" s="13">
        <v>0.08796996443830399</v>
      </c>
    </row>
    <row r="110">
      <c r="A110" s="26" t="s">
        <v>28</v>
      </c>
      <c r="B110" s="13">
        <f>VLOOKUP($A110,'k=2'!$A$2:$E$154,5,0)</f>
        <v>0.00645</v>
      </c>
      <c r="C110" s="13">
        <f>VLOOKUP($A110,'k=3'!$A$2:$E$154,5,0)</f>
        <v>0.03265</v>
      </c>
      <c r="D110" s="13">
        <f>VLOOKUP($A110,'k=4'!$A$2:$E$154,5,0)</f>
        <v>0.121075</v>
      </c>
      <c r="E110" s="13">
        <f>VLOOKUP($A110,'k=5'!$A$2:$E$154,5,0)</f>
        <v>0.17585</v>
      </c>
      <c r="F110" s="13">
        <f>VLOOKUP($A110,'k=6'!$A$2:$E$154,5,0)</f>
        <v>0.207575</v>
      </c>
      <c r="H110" s="9">
        <f>VLOOKUP($A110,'k=2'!$A$2:$E$154,4,0)</f>
        <v>149</v>
      </c>
      <c r="I110" s="9">
        <f>VLOOKUP($A110,'k=3'!$A$2:$E$154,4,0)</f>
        <v>60</v>
      </c>
      <c r="J110" s="9">
        <f>VLOOKUP($A110,'k=4'!$A$2:$E$154,4,0)</f>
        <v>22</v>
      </c>
      <c r="K110" s="9">
        <f>VLOOKUP($A110,'k=5'!$A$2:$E$154,4,0)</f>
        <v>9</v>
      </c>
      <c r="L110" s="9">
        <f>VLOOKUP($A110,'k=6'!$A$2:$E$154,4,0)</f>
        <v>4</v>
      </c>
      <c r="N110" s="13">
        <f t="shared" si="1"/>
        <v>0.03277315574</v>
      </c>
      <c r="P110" s="26" t="s">
        <v>171</v>
      </c>
      <c r="Q110" s="13">
        <v>0.08905792172739534</v>
      </c>
    </row>
    <row r="111">
      <c r="A111" s="26" t="s">
        <v>70</v>
      </c>
      <c r="B111" s="13">
        <f>VLOOKUP($A111,'k=2'!$A$2:$E$154,5,0)</f>
        <v>0.01899186992</v>
      </c>
      <c r="C111" s="13">
        <f>VLOOKUP($A111,'k=3'!$A$2:$E$154,5,0)</f>
        <v>0.05165853659</v>
      </c>
      <c r="D111" s="13">
        <f>VLOOKUP($A111,'k=4'!$A$2:$E$154,5,0)</f>
        <v>0.1512195122</v>
      </c>
      <c r="E111" s="13">
        <f>VLOOKUP($A111,'k=5'!$A$2:$E$154,5,0)</f>
        <v>0.3857886179</v>
      </c>
      <c r="F111" s="13">
        <f>VLOOKUP($A111,'k=6'!$A$2:$E$154,5,0)</f>
        <v>0.8071219512</v>
      </c>
      <c r="H111" s="9">
        <f>VLOOKUP($A111,'k=2'!$A$2:$E$154,4,0)</f>
        <v>250</v>
      </c>
      <c r="I111" s="9">
        <f>VLOOKUP($A111,'k=3'!$A$2:$E$154,4,0)</f>
        <v>104</v>
      </c>
      <c r="J111" s="9">
        <f>VLOOKUP($A111,'k=4'!$A$2:$E$154,4,0)</f>
        <v>38</v>
      </c>
      <c r="K111" s="9">
        <f>VLOOKUP($A111,'k=5'!$A$2:$E$154,4,0)</f>
        <v>11</v>
      </c>
      <c r="L111" s="9">
        <f>VLOOKUP($A111,'k=6'!$A$2:$E$154,4,0)</f>
        <v>1</v>
      </c>
      <c r="N111" s="13">
        <f t="shared" si="1"/>
        <v>0.05177622152</v>
      </c>
      <c r="P111" s="26" t="s">
        <v>134</v>
      </c>
      <c r="Q111" s="13">
        <v>0.08935788564107121</v>
      </c>
    </row>
    <row r="112">
      <c r="A112" s="26" t="s">
        <v>20</v>
      </c>
      <c r="B112" s="13">
        <f>VLOOKUP($A112,'k=2'!$A$2:$E$154,5,0)</f>
        <v>0.00450877193</v>
      </c>
      <c r="C112" s="13">
        <f>VLOOKUP($A112,'k=3'!$A$2:$E$154,5,0)</f>
        <v>0.0151754386</v>
      </c>
      <c r="D112" s="13">
        <f>VLOOKUP($A112,'k=4'!$A$2:$E$154,5,0)</f>
        <v>0.03887719298</v>
      </c>
      <c r="E112" s="13">
        <f>VLOOKUP($A112,'k=5'!$A$2:$E$154,5,0)</f>
        <v>0.06442105263</v>
      </c>
      <c r="F112" s="13">
        <f>VLOOKUP($A112,'k=6'!$A$2:$E$154,5,0)</f>
        <v>0.06405263158</v>
      </c>
      <c r="H112" s="9">
        <f>VLOOKUP($A112,'k=2'!$A$2:$E$154,4,0)</f>
        <v>219</v>
      </c>
      <c r="I112" s="9">
        <f>VLOOKUP($A112,'k=3'!$A$2:$E$154,4,0)</f>
        <v>95</v>
      </c>
      <c r="J112" s="9">
        <f>VLOOKUP($A112,'k=4'!$A$2:$E$154,4,0)</f>
        <v>39</v>
      </c>
      <c r="K112" s="9">
        <f>VLOOKUP($A112,'k=5'!$A$2:$E$154,4,0)</f>
        <v>17</v>
      </c>
      <c r="L112" s="9">
        <f>VLOOKUP($A112,'k=6'!$A$2:$E$154,4,0)</f>
        <v>8</v>
      </c>
      <c r="N112" s="13">
        <f t="shared" si="1"/>
        <v>0.0146901513</v>
      </c>
      <c r="P112" s="26" t="s">
        <v>92</v>
      </c>
      <c r="Q112" s="13">
        <v>0.08950645624103287</v>
      </c>
    </row>
    <row r="113">
      <c r="A113" s="26" t="s">
        <v>71</v>
      </c>
      <c r="B113" s="13">
        <f>VLOOKUP($A113,'k=2'!$A$2:$E$154,5,0)</f>
        <v>0.01921428571</v>
      </c>
      <c r="C113" s="13">
        <f>VLOOKUP($A113,'k=3'!$A$2:$E$154,5,0)</f>
        <v>0.02819642857</v>
      </c>
      <c r="D113" s="13">
        <f>VLOOKUP($A113,'k=4'!$A$2:$E$154,5,0)</f>
        <v>0.09741071429</v>
      </c>
      <c r="E113" s="13">
        <f>VLOOKUP($A113,'k=5'!$A$2:$E$154,5,0)</f>
        <v>0.2425892857</v>
      </c>
      <c r="F113" s="13">
        <f>VLOOKUP($A113,'k=6'!$A$2:$E$154,5,0)</f>
        <v>0.3833214286</v>
      </c>
      <c r="H113" s="9">
        <f>VLOOKUP($A113,'k=2'!$A$2:$E$154,4,0)</f>
        <v>203</v>
      </c>
      <c r="I113" s="9">
        <f>VLOOKUP($A113,'k=3'!$A$2:$E$154,4,0)</f>
        <v>88</v>
      </c>
      <c r="J113" s="9">
        <f>VLOOKUP($A113,'k=4'!$A$2:$E$154,4,0)</f>
        <v>34</v>
      </c>
      <c r="K113" s="9">
        <f>VLOOKUP($A113,'k=5'!$A$2:$E$154,4,0)</f>
        <v>12</v>
      </c>
      <c r="L113" s="9">
        <f>VLOOKUP($A113,'k=6'!$A$2:$E$154,4,0)</f>
        <v>4</v>
      </c>
      <c r="N113" s="13">
        <f t="shared" si="1"/>
        <v>0.04146072476</v>
      </c>
      <c r="P113" s="26" t="s">
        <v>146</v>
      </c>
      <c r="Q113" s="13">
        <v>0.08968277356446343</v>
      </c>
    </row>
    <row r="114">
      <c r="A114" s="26" t="s">
        <v>67</v>
      </c>
      <c r="B114" s="13">
        <f>VLOOKUP($A114,'k=2'!$A$2:$E$154,5,0)</f>
        <v>0.01796396396</v>
      </c>
      <c r="C114" s="13">
        <f>VLOOKUP($A114,'k=3'!$A$2:$E$154,5,0)</f>
        <v>0.03209009009</v>
      </c>
      <c r="D114" s="13">
        <f>VLOOKUP($A114,'k=4'!$A$2:$E$154,5,0)</f>
        <v>0.03023423423</v>
      </c>
      <c r="E114" s="13">
        <f>VLOOKUP($A114,'k=5'!$A$2:$E$154,5,0)</f>
        <v>0.152018018</v>
      </c>
      <c r="F114" s="13">
        <f>VLOOKUP($A114,'k=6'!$A$2:$E$154,5,0)</f>
        <v>0.1860900901</v>
      </c>
      <c r="H114" s="9">
        <f>VLOOKUP($A114,'k=2'!$A$2:$E$154,4,0)</f>
        <v>148</v>
      </c>
      <c r="I114" s="9">
        <f>VLOOKUP($A114,'k=3'!$A$2:$E$154,4,0)</f>
        <v>57</v>
      </c>
      <c r="J114" s="9">
        <f>VLOOKUP($A114,'k=4'!$A$2:$E$154,4,0)</f>
        <v>24</v>
      </c>
      <c r="K114" s="9">
        <f>VLOOKUP($A114,'k=5'!$A$2:$E$154,4,0)</f>
        <v>7</v>
      </c>
      <c r="L114" s="9">
        <f>VLOOKUP($A114,'k=6'!$A$2:$E$154,4,0)</f>
        <v>3</v>
      </c>
      <c r="N114" s="13">
        <f t="shared" si="1"/>
        <v>0.02860175657</v>
      </c>
      <c r="P114" s="26" t="s">
        <v>123</v>
      </c>
      <c r="Q114" s="13">
        <v>0.09127785454731531</v>
      </c>
    </row>
    <row r="115">
      <c r="A115" s="26" t="s">
        <v>148</v>
      </c>
      <c r="B115" s="13">
        <f>VLOOKUP($A115,'k=2'!$A$2:$E$154,5,0)</f>
        <v>0.05216363636</v>
      </c>
      <c r="C115" s="13">
        <f>VLOOKUP($A115,'k=3'!$A$2:$E$154,5,0)</f>
        <v>0.1799272727</v>
      </c>
      <c r="D115" s="13">
        <f>VLOOKUP($A115,'k=4'!$A$2:$E$154,5,0)</f>
        <v>0.2792909091</v>
      </c>
      <c r="E115" s="13">
        <f>VLOOKUP($A115,'k=5'!$A$2:$E$154,5,0)</f>
        <v>0.5650363636</v>
      </c>
      <c r="F115" s="13">
        <f>VLOOKUP($A115,'k=6'!$A$2:$E$154,5,0)</f>
        <v>0.5290363636</v>
      </c>
      <c r="H115" s="9">
        <f>VLOOKUP($A115,'k=2'!$A$2:$E$154,4,0)</f>
        <v>224</v>
      </c>
      <c r="I115" s="9">
        <f>VLOOKUP($A115,'k=3'!$A$2:$E$154,4,0)</f>
        <v>76</v>
      </c>
      <c r="J115" s="9">
        <f>VLOOKUP($A115,'k=4'!$A$2:$E$154,4,0)</f>
        <v>25</v>
      </c>
      <c r="K115" s="9">
        <f>VLOOKUP($A115,'k=5'!$A$2:$E$154,4,0)</f>
        <v>5</v>
      </c>
      <c r="L115" s="9">
        <f>VLOOKUP($A115,'k=6'!$A$2:$E$154,4,0)</f>
        <v>2</v>
      </c>
      <c r="N115" s="13">
        <f t="shared" si="1"/>
        <v>0.1091104053</v>
      </c>
      <c r="P115" s="26" t="s">
        <v>145</v>
      </c>
      <c r="Q115" s="13">
        <v>0.09231139655952907</v>
      </c>
    </row>
    <row r="116">
      <c r="A116" s="26" t="s">
        <v>81</v>
      </c>
      <c r="B116" s="13">
        <f>VLOOKUP($A116,'k=2'!$A$2:$E$154,5,0)</f>
        <v>0.02305882353</v>
      </c>
      <c r="C116" s="13">
        <f>VLOOKUP($A116,'k=3'!$A$2:$E$154,5,0)</f>
        <v>0.02564705882</v>
      </c>
      <c r="D116" s="13">
        <f>VLOOKUP($A116,'k=4'!$A$2:$E$154,5,0)</f>
        <v>0.05010084034</v>
      </c>
      <c r="E116" s="13">
        <f>VLOOKUP($A116,'k=5'!$A$2:$E$154,5,0)</f>
        <v>0.08986554622</v>
      </c>
      <c r="F116" s="13">
        <f>VLOOKUP($A116,'k=6'!$A$2:$E$154,5,0)</f>
        <v>0.06588235294</v>
      </c>
      <c r="H116" s="9">
        <f>VLOOKUP($A116,'k=2'!$A$2:$E$154,4,0)</f>
        <v>315</v>
      </c>
      <c r="I116" s="9">
        <f>VLOOKUP($A116,'k=3'!$A$2:$E$154,4,0)</f>
        <v>150</v>
      </c>
      <c r="J116" s="9">
        <f>VLOOKUP($A116,'k=4'!$A$2:$E$154,4,0)</f>
        <v>69</v>
      </c>
      <c r="K116" s="9">
        <f>VLOOKUP($A116,'k=5'!$A$2:$E$154,4,0)</f>
        <v>31</v>
      </c>
      <c r="L116" s="9">
        <f>VLOOKUP($A116,'k=6'!$A$2:$E$154,4,0)</f>
        <v>17</v>
      </c>
      <c r="N116" s="13">
        <f t="shared" si="1"/>
        <v>0.03174119957</v>
      </c>
      <c r="P116" s="26" t="s">
        <v>111</v>
      </c>
      <c r="Q116" s="13">
        <v>0.09352877648667089</v>
      </c>
    </row>
    <row r="117">
      <c r="A117" s="26" t="s">
        <v>40</v>
      </c>
      <c r="B117" s="13">
        <f>VLOOKUP($A117,'k=2'!$A$2:$E$154,5,0)</f>
        <v>0.01006451613</v>
      </c>
      <c r="C117" s="13">
        <f>VLOOKUP($A117,'k=3'!$A$2:$E$154,5,0)</f>
        <v>0.02590322581</v>
      </c>
      <c r="D117" s="13">
        <f>VLOOKUP($A117,'k=4'!$A$2:$E$154,5,0)</f>
        <v>0.1089032258</v>
      </c>
      <c r="E117" s="13">
        <f>VLOOKUP($A117,'k=5'!$A$2:$E$154,5,0)</f>
        <v>0.0645483871</v>
      </c>
      <c r="F117" s="13">
        <f>VLOOKUP($A117,'k=6'!$A$2:$E$154,5,0)</f>
        <v>0.1372903226</v>
      </c>
      <c r="H117" s="9">
        <f>VLOOKUP($A117,'k=2'!$A$2:$E$154,4,0)</f>
        <v>173</v>
      </c>
      <c r="I117" s="9">
        <f>VLOOKUP($A117,'k=3'!$A$2:$E$154,4,0)</f>
        <v>73</v>
      </c>
      <c r="J117" s="9">
        <f>VLOOKUP($A117,'k=4'!$A$2:$E$154,4,0)</f>
        <v>28</v>
      </c>
      <c r="K117" s="9">
        <f>VLOOKUP($A117,'k=5'!$A$2:$E$154,4,0)</f>
        <v>15</v>
      </c>
      <c r="L117" s="9">
        <f>VLOOKUP($A117,'k=6'!$A$2:$E$154,4,0)</f>
        <v>6</v>
      </c>
      <c r="N117" s="13">
        <f t="shared" si="1"/>
        <v>0.02872323674</v>
      </c>
      <c r="P117" s="26" t="s">
        <v>156</v>
      </c>
      <c r="Q117" s="13">
        <v>0.09478774529435305</v>
      </c>
    </row>
    <row r="118">
      <c r="A118" s="26" t="s">
        <v>110</v>
      </c>
      <c r="B118" s="13">
        <f>VLOOKUP($A118,'k=2'!$A$2:$E$154,5,0)</f>
        <v>0.03680620155</v>
      </c>
      <c r="C118" s="13">
        <f>VLOOKUP($A118,'k=3'!$A$2:$E$154,5,0)</f>
        <v>0.05418604651</v>
      </c>
      <c r="D118" s="13">
        <f>VLOOKUP($A118,'k=4'!$A$2:$E$154,5,0)</f>
        <v>0.1134108527</v>
      </c>
      <c r="E118" s="13">
        <f>VLOOKUP($A118,'k=5'!$A$2:$E$154,5,0)</f>
        <v>0.2086356589</v>
      </c>
      <c r="F118" s="13">
        <f>VLOOKUP($A118,'k=6'!$A$2:$E$154,5,0)</f>
        <v>0.1042170543</v>
      </c>
      <c r="H118" s="9">
        <f>VLOOKUP($A118,'k=2'!$A$2:$E$154,4,0)</f>
        <v>205</v>
      </c>
      <c r="I118" s="9">
        <f>VLOOKUP($A118,'k=3'!$A$2:$E$154,4,0)</f>
        <v>79</v>
      </c>
      <c r="J118" s="9">
        <f>VLOOKUP($A118,'k=4'!$A$2:$E$154,4,0)</f>
        <v>29</v>
      </c>
      <c r="K118" s="9">
        <f>VLOOKUP($A118,'k=5'!$A$2:$E$154,4,0)</f>
        <v>10</v>
      </c>
      <c r="L118" s="9">
        <f>VLOOKUP($A118,'k=6'!$A$2:$E$154,4,0)</f>
        <v>6</v>
      </c>
      <c r="N118" s="13">
        <f t="shared" si="1"/>
        <v>0.05418402017</v>
      </c>
      <c r="P118" s="26" t="s">
        <v>129</v>
      </c>
      <c r="Q118" s="13">
        <v>0.09821383177570062</v>
      </c>
    </row>
    <row r="119">
      <c r="A119" s="26" t="s">
        <v>166</v>
      </c>
      <c r="B119" s="13">
        <f>VLOOKUP($A119,'k=2'!$A$2:$E$154,5,0)</f>
        <v>0.06370542636</v>
      </c>
      <c r="C119" s="13">
        <f>VLOOKUP($A119,'k=3'!$A$2:$E$154,5,0)</f>
        <v>0.1946666667</v>
      </c>
      <c r="D119" s="13">
        <f>VLOOKUP($A119,'k=4'!$A$2:$E$154,5,0)</f>
        <v>0.4031472868</v>
      </c>
      <c r="E119" s="13">
        <f>VLOOKUP($A119,'k=5'!$A$2:$E$154,5,0)</f>
        <v>0.6562325581</v>
      </c>
      <c r="F119" s="13">
        <f>VLOOKUP($A119,'k=6'!$A$2:$E$154,5,0)</f>
        <v>0.8632868217</v>
      </c>
      <c r="H119" s="9">
        <f>VLOOKUP($A119,'k=2'!$A$2:$E$154,4,0)</f>
        <v>333</v>
      </c>
      <c r="I119" s="9">
        <f>VLOOKUP($A119,'k=3'!$A$2:$E$154,4,0)</f>
        <v>133</v>
      </c>
      <c r="J119" s="9">
        <f>VLOOKUP($A119,'k=4'!$A$2:$E$154,4,0)</f>
        <v>43</v>
      </c>
      <c r="K119" s="9">
        <f>VLOOKUP($A119,'k=5'!$A$2:$E$154,4,0)</f>
        <v>10</v>
      </c>
      <c r="L119" s="9">
        <f>VLOOKUP($A119,'k=6'!$A$2:$E$154,4,0)</f>
        <v>1</v>
      </c>
      <c r="N119" s="13">
        <f t="shared" si="1"/>
        <v>0.1382029219</v>
      </c>
      <c r="P119" s="26" t="s">
        <v>155</v>
      </c>
      <c r="Q119" s="13">
        <v>0.09853601204261221</v>
      </c>
    </row>
    <row r="120">
      <c r="A120" s="26" t="s">
        <v>99</v>
      </c>
      <c r="B120" s="13">
        <f>VLOOKUP($A120,'k=2'!$A$2:$E$154,5,0)</f>
        <v>0.03212389381</v>
      </c>
      <c r="C120" s="13">
        <f>VLOOKUP($A120,'k=3'!$A$2:$E$154,5,0)</f>
        <v>0.08511504425</v>
      </c>
      <c r="D120" s="13">
        <f>VLOOKUP($A120,'k=4'!$A$2:$E$154,5,0)</f>
        <v>0.0662300885</v>
      </c>
      <c r="E120" s="13">
        <f>VLOOKUP($A120,'k=5'!$A$2:$E$154,5,0)</f>
        <v>0.1797168142</v>
      </c>
      <c r="F120" s="13">
        <f>VLOOKUP($A120,'k=6'!$A$2:$E$154,5,0)</f>
        <v>1</v>
      </c>
      <c r="H120" s="9">
        <f>VLOOKUP($A120,'k=2'!$A$2:$E$154,4,0)</f>
        <v>146</v>
      </c>
      <c r="I120" s="9">
        <f>VLOOKUP($A120,'k=3'!$A$2:$E$154,4,0)</f>
        <v>51</v>
      </c>
      <c r="J120" s="9">
        <f>VLOOKUP($A120,'k=4'!$A$2:$E$154,4,0)</f>
        <v>21</v>
      </c>
      <c r="K120" s="9">
        <f>VLOOKUP($A120,'k=5'!$A$2:$E$154,4,0)</f>
        <v>7</v>
      </c>
      <c r="L120" s="9">
        <f>VLOOKUP($A120,'k=6'!$A$2:$E$154,4,0)</f>
        <v>0</v>
      </c>
      <c r="N120" s="13">
        <f t="shared" si="1"/>
        <v>0.05191024582</v>
      </c>
      <c r="P120" s="26" t="s">
        <v>177</v>
      </c>
      <c r="Q120" s="13">
        <v>0.0991018472391048</v>
      </c>
    </row>
    <row r="121">
      <c r="A121" s="26" t="s">
        <v>73</v>
      </c>
      <c r="B121" s="13">
        <f>VLOOKUP($A121,'k=2'!$A$2:$E$154,5,0)</f>
        <v>0.01991489362</v>
      </c>
      <c r="C121" s="13">
        <f>VLOOKUP($A121,'k=3'!$A$2:$E$154,5,0)</f>
        <v>0.1034255319</v>
      </c>
      <c r="D121" s="13">
        <f>VLOOKUP($A121,'k=4'!$A$2:$E$154,5,0)</f>
        <v>0.1644893617</v>
      </c>
      <c r="E121" s="13">
        <f>VLOOKUP($A121,'k=5'!$A$2:$E$154,5,0)</f>
        <v>0.219893617</v>
      </c>
      <c r="F121" s="13">
        <f>VLOOKUP($A121,'k=6'!$A$2:$E$154,5,0)</f>
        <v>0.1653191489</v>
      </c>
      <c r="H121" s="9">
        <f>VLOOKUP($A121,'k=2'!$A$2:$E$154,4,0)</f>
        <v>329</v>
      </c>
      <c r="I121" s="9">
        <f>VLOOKUP($A121,'k=3'!$A$2:$E$154,4,0)</f>
        <v>131</v>
      </c>
      <c r="J121" s="9">
        <f>VLOOKUP($A121,'k=4'!$A$2:$E$154,4,0)</f>
        <v>54</v>
      </c>
      <c r="K121" s="9">
        <f>VLOOKUP($A121,'k=5'!$A$2:$E$154,4,0)</f>
        <v>23</v>
      </c>
      <c r="L121" s="9">
        <f>VLOOKUP($A121,'k=6'!$A$2:$E$154,4,0)</f>
        <v>12</v>
      </c>
      <c r="N121" s="13">
        <f t="shared" si="1"/>
        <v>0.06561849397</v>
      </c>
      <c r="P121" s="26" t="s">
        <v>151</v>
      </c>
      <c r="Q121" s="13">
        <v>0.0994643874643872</v>
      </c>
    </row>
    <row r="122">
      <c r="A122" s="26" t="s">
        <v>116</v>
      </c>
      <c r="B122" s="13">
        <f>VLOOKUP($A122,'k=2'!$A$2:$E$154,5,0)</f>
        <v>0.03783471074</v>
      </c>
      <c r="C122" s="13">
        <f>VLOOKUP($A122,'k=3'!$A$2:$E$154,5,0)</f>
        <v>0.0646446281</v>
      </c>
      <c r="D122" s="13">
        <f>VLOOKUP($A122,'k=4'!$A$2:$E$154,5,0)</f>
        <v>0.1148429752</v>
      </c>
      <c r="E122" s="13">
        <f>VLOOKUP($A122,'k=5'!$A$2:$E$154,5,0)</f>
        <v>0.252214876</v>
      </c>
      <c r="F122" s="13">
        <f>VLOOKUP($A122,'k=6'!$A$2:$E$154,5,0)</f>
        <v>0.4706446281</v>
      </c>
      <c r="H122" s="9">
        <f>VLOOKUP($A122,'k=2'!$A$2:$E$154,4,0)</f>
        <v>314</v>
      </c>
      <c r="I122" s="9">
        <f>VLOOKUP($A122,'k=3'!$A$2:$E$154,4,0)</f>
        <v>139</v>
      </c>
      <c r="J122" s="9">
        <f>VLOOKUP($A122,'k=4'!$A$2:$E$154,4,0)</f>
        <v>58</v>
      </c>
      <c r="K122" s="9">
        <f>VLOOKUP($A122,'k=5'!$A$2:$E$154,4,0)</f>
        <v>21</v>
      </c>
      <c r="L122" s="9">
        <f>VLOOKUP($A122,'k=6'!$A$2:$E$154,4,0)</f>
        <v>6</v>
      </c>
      <c r="N122" s="13">
        <f t="shared" si="1"/>
        <v>0.06625831823</v>
      </c>
      <c r="P122" s="26" t="s">
        <v>175</v>
      </c>
      <c r="Q122" s="13">
        <v>0.10217720098926576</v>
      </c>
    </row>
    <row r="123">
      <c r="A123" s="26" t="s">
        <v>82</v>
      </c>
      <c r="B123" s="13">
        <f>VLOOKUP($A123,'k=2'!$A$2:$E$154,5,0)</f>
        <v>0.02356701031</v>
      </c>
      <c r="C123" s="13">
        <f>VLOOKUP($A123,'k=3'!$A$2:$E$154,5,0)</f>
        <v>0.04239175258</v>
      </c>
      <c r="D123" s="13">
        <f>VLOOKUP($A123,'k=4'!$A$2:$E$154,5,0)</f>
        <v>0.06255670103</v>
      </c>
      <c r="E123" s="13">
        <f>VLOOKUP($A123,'k=5'!$A$2:$E$154,5,0)</f>
        <v>0.0827628866</v>
      </c>
      <c r="F123" s="13">
        <f>VLOOKUP($A123,'k=6'!$A$2:$E$154,5,0)</f>
        <v>0.312185567</v>
      </c>
      <c r="H123" s="9">
        <f>VLOOKUP($A123,'k=2'!$A$2:$E$154,4,0)</f>
        <v>194</v>
      </c>
      <c r="I123" s="9">
        <f>VLOOKUP($A123,'k=3'!$A$2:$E$154,4,0)</f>
        <v>76</v>
      </c>
      <c r="J123" s="9">
        <f>VLOOKUP($A123,'k=4'!$A$2:$E$154,4,0)</f>
        <v>31</v>
      </c>
      <c r="K123" s="9">
        <f>VLOOKUP($A123,'k=5'!$A$2:$E$154,4,0)</f>
        <v>13</v>
      </c>
      <c r="L123" s="9">
        <f>VLOOKUP($A123,'k=6'!$A$2:$E$154,4,0)</f>
        <v>3</v>
      </c>
      <c r="N123" s="13">
        <f t="shared" si="1"/>
        <v>0.03705206673</v>
      </c>
      <c r="P123" s="26" t="s">
        <v>162</v>
      </c>
      <c r="Q123" s="13">
        <v>0.10263264645592819</v>
      </c>
    </row>
    <row r="124">
      <c r="A124" s="26" t="s">
        <v>190</v>
      </c>
      <c r="B124" s="13">
        <f>VLOOKUP($A124,'k=2'!$A$2:$E$154,5,0)</f>
        <v>0.1527567568</v>
      </c>
      <c r="C124" s="13">
        <f>VLOOKUP($A124,'k=3'!$A$2:$E$154,5,0)</f>
        <v>0.2514594595</v>
      </c>
      <c r="D124" s="13">
        <f>VLOOKUP($A124,'k=4'!$A$2:$E$154,5,0)</f>
        <v>0.2315675676</v>
      </c>
      <c r="E124" s="13">
        <f>VLOOKUP($A124,'k=5'!$A$2:$E$154,5,0)</f>
        <v>0.1445945946</v>
      </c>
      <c r="F124" s="13">
        <f>VLOOKUP($A124,'k=6'!$A$2:$E$154,5,0)</f>
        <v>0.1304864865</v>
      </c>
      <c r="H124" s="9">
        <f>VLOOKUP($A124,'k=2'!$A$2:$E$154,4,0)</f>
        <v>85</v>
      </c>
      <c r="I124" s="9">
        <f>VLOOKUP($A124,'k=3'!$A$2:$E$154,4,0)</f>
        <v>30</v>
      </c>
      <c r="J124" s="9">
        <f>VLOOKUP($A124,'k=4'!$A$2:$E$154,4,0)</f>
        <v>13</v>
      </c>
      <c r="K124" s="9">
        <f>VLOOKUP($A124,'k=5'!$A$2:$E$154,4,0)</f>
        <v>7</v>
      </c>
      <c r="L124" s="9">
        <f>VLOOKUP($A124,'k=6'!$A$2:$E$154,4,0)</f>
        <v>4</v>
      </c>
      <c r="N124" s="13">
        <f t="shared" si="1"/>
        <v>0.1803783784</v>
      </c>
      <c r="P124" s="26" t="s">
        <v>158</v>
      </c>
      <c r="Q124" s="13">
        <v>0.10267415178571408</v>
      </c>
    </row>
    <row r="125">
      <c r="A125" s="26" t="s">
        <v>132</v>
      </c>
      <c r="B125" s="13">
        <f>VLOOKUP($A125,'k=2'!$A$2:$E$154,5,0)</f>
        <v>0.04533333333</v>
      </c>
      <c r="C125" s="13">
        <f>VLOOKUP($A125,'k=3'!$A$2:$E$154,5,0)</f>
        <v>0.1496904762</v>
      </c>
      <c r="D125" s="13">
        <f>VLOOKUP($A125,'k=4'!$A$2:$E$154,5,0)</f>
        <v>0.3543571429</v>
      </c>
      <c r="E125" s="13">
        <f>VLOOKUP($A125,'k=5'!$A$2:$E$154,5,0)</f>
        <v>0.3072142857</v>
      </c>
      <c r="F125" s="13">
        <f>VLOOKUP($A125,'k=6'!$A$2:$E$154,5,0)</f>
        <v>0.3463333333</v>
      </c>
      <c r="H125" s="9">
        <f>VLOOKUP($A125,'k=2'!$A$2:$E$154,4,0)</f>
        <v>201</v>
      </c>
      <c r="I125" s="9">
        <f>VLOOKUP($A125,'k=3'!$A$2:$E$154,4,0)</f>
        <v>78</v>
      </c>
      <c r="J125" s="9">
        <f>VLOOKUP($A125,'k=4'!$A$2:$E$154,4,0)</f>
        <v>26</v>
      </c>
      <c r="K125" s="9">
        <f>VLOOKUP($A125,'k=5'!$A$2:$E$154,4,0)</f>
        <v>12</v>
      </c>
      <c r="L125" s="9">
        <f>VLOOKUP($A125,'k=6'!$A$2:$E$154,4,0)</f>
        <v>5</v>
      </c>
      <c r="N125" s="13">
        <f t="shared" si="1"/>
        <v>0.1099980775</v>
      </c>
      <c r="P125" s="26" t="s">
        <v>119</v>
      </c>
      <c r="Q125" s="13">
        <v>0.10288333103162528</v>
      </c>
    </row>
    <row r="126">
      <c r="A126" s="26" t="s">
        <v>79</v>
      </c>
      <c r="B126" s="13">
        <f>VLOOKUP($A126,'k=2'!$A$2:$E$154,5,0)</f>
        <v>0.02235294118</v>
      </c>
      <c r="C126" s="13">
        <f>VLOOKUP($A126,'k=3'!$A$2:$E$154,5,0)</f>
        <v>0.05807843137</v>
      </c>
      <c r="D126" s="13">
        <f>VLOOKUP($A126,'k=4'!$A$2:$E$154,5,0)</f>
        <v>0.06196078431</v>
      </c>
      <c r="E126" s="13">
        <f>VLOOKUP($A126,'k=5'!$A$2:$E$154,5,0)</f>
        <v>0.1071960784</v>
      </c>
      <c r="F126" s="13">
        <f>VLOOKUP($A126,'k=6'!$A$2:$E$154,5,0)</f>
        <v>0.1807647059</v>
      </c>
      <c r="H126" s="9">
        <f>VLOOKUP($A126,'k=2'!$A$2:$E$154,4,0)</f>
        <v>231</v>
      </c>
      <c r="I126" s="9">
        <f>VLOOKUP($A126,'k=3'!$A$2:$E$154,4,0)</f>
        <v>93</v>
      </c>
      <c r="J126" s="9">
        <f>VLOOKUP($A126,'k=4'!$A$2:$E$154,4,0)</f>
        <v>40</v>
      </c>
      <c r="K126" s="9">
        <f>VLOOKUP($A126,'k=5'!$A$2:$E$154,4,0)</f>
        <v>16</v>
      </c>
      <c r="L126" s="9">
        <f>VLOOKUP($A126,'k=6'!$A$2:$E$154,4,0)</f>
        <v>6</v>
      </c>
      <c r="N126" s="13">
        <f t="shared" si="1"/>
        <v>0.04104399065</v>
      </c>
      <c r="P126" s="26" t="s">
        <v>165</v>
      </c>
      <c r="Q126" s="13">
        <v>0.10293836290526649</v>
      </c>
    </row>
    <row r="127">
      <c r="A127" s="26" t="s">
        <v>101</v>
      </c>
      <c r="B127" s="13">
        <f>VLOOKUP($A127,'k=2'!$A$2:$E$154,5,0)</f>
        <v>0.03238235294</v>
      </c>
      <c r="C127" s="13">
        <f>VLOOKUP($A127,'k=3'!$A$2:$E$154,5,0)</f>
        <v>0.01792647059</v>
      </c>
      <c r="D127" s="13">
        <f>VLOOKUP($A127,'k=4'!$A$2:$E$154,5,0)</f>
        <v>0.05476470588</v>
      </c>
      <c r="E127" s="13">
        <f>VLOOKUP($A127,'k=5'!$A$2:$E$154,5,0)</f>
        <v>0.03151470588</v>
      </c>
      <c r="F127" s="13">
        <f>VLOOKUP($A127,'k=6'!$A$2:$E$154,5,0)</f>
        <v>0.1095147059</v>
      </c>
      <c r="H127" s="9">
        <f>VLOOKUP($A127,'k=2'!$A$2:$E$154,4,0)</f>
        <v>189</v>
      </c>
      <c r="I127" s="9">
        <f>VLOOKUP($A127,'k=3'!$A$2:$E$154,4,0)</f>
        <v>79</v>
      </c>
      <c r="J127" s="9">
        <f>VLOOKUP($A127,'k=4'!$A$2:$E$154,4,0)</f>
        <v>30</v>
      </c>
      <c r="K127" s="9">
        <f>VLOOKUP($A127,'k=5'!$A$2:$E$154,4,0)</f>
        <v>15</v>
      </c>
      <c r="L127" s="9">
        <f>VLOOKUP($A127,'k=6'!$A$2:$E$154,4,0)</f>
        <v>5</v>
      </c>
      <c r="N127" s="13">
        <f t="shared" si="1"/>
        <v>0.03207450055</v>
      </c>
      <c r="P127" s="26" t="s">
        <v>169</v>
      </c>
      <c r="Q127" s="13">
        <v>0.10303254385964902</v>
      </c>
    </row>
    <row r="128">
      <c r="A128" s="26" t="s">
        <v>123</v>
      </c>
      <c r="B128" s="13">
        <f>VLOOKUP($A128,'k=2'!$A$2:$E$154,5,0)</f>
        <v>0.04283760684</v>
      </c>
      <c r="C128" s="13">
        <f>VLOOKUP($A128,'k=3'!$A$2:$E$154,5,0)</f>
        <v>0.1248888889</v>
      </c>
      <c r="D128" s="13">
        <f>VLOOKUP($A128,'k=4'!$A$2:$E$154,5,0)</f>
        <v>0.2727350427</v>
      </c>
      <c r="E128" s="13">
        <f>VLOOKUP($A128,'k=5'!$A$2:$E$154,5,0)</f>
        <v>0.2222564103</v>
      </c>
      <c r="F128" s="13">
        <f>VLOOKUP($A128,'k=6'!$A$2:$E$154,5,0)</f>
        <v>0.2477948718</v>
      </c>
      <c r="H128" s="9">
        <f>VLOOKUP($A128,'k=2'!$A$2:$E$154,4,0)</f>
        <v>209</v>
      </c>
      <c r="I128" s="9">
        <f>VLOOKUP($A128,'k=3'!$A$2:$E$154,4,0)</f>
        <v>80</v>
      </c>
      <c r="J128" s="9">
        <f>VLOOKUP($A128,'k=4'!$A$2:$E$154,4,0)</f>
        <v>28</v>
      </c>
      <c r="K128" s="9">
        <f>VLOOKUP($A128,'k=5'!$A$2:$E$154,4,0)</f>
        <v>12</v>
      </c>
      <c r="L128" s="9">
        <f>VLOOKUP($A128,'k=6'!$A$2:$E$154,4,0)</f>
        <v>5</v>
      </c>
      <c r="N128" s="13">
        <f t="shared" si="1"/>
        <v>0.09127785455</v>
      </c>
      <c r="P128" s="26" t="s">
        <v>164</v>
      </c>
      <c r="Q128" s="13">
        <v>0.10361976404817666</v>
      </c>
    </row>
    <row r="129">
      <c r="A129" s="26" t="s">
        <v>46</v>
      </c>
      <c r="B129" s="13">
        <f>VLOOKUP($A129,'k=2'!$A$2:$E$154,5,0)</f>
        <v>0.01206993007</v>
      </c>
      <c r="C129" s="13">
        <f>VLOOKUP($A129,'k=3'!$A$2:$E$154,5,0)</f>
        <v>0.03661538462</v>
      </c>
      <c r="D129" s="13">
        <f>VLOOKUP($A129,'k=4'!$A$2:$E$154,5,0)</f>
        <v>0.02820979021</v>
      </c>
      <c r="E129" s="13">
        <f>VLOOKUP($A129,'k=5'!$A$2:$E$154,5,0)</f>
        <v>0.06979020979</v>
      </c>
      <c r="F129" s="13">
        <f>VLOOKUP($A129,'k=6'!$A$2:$E$154,5,0)</f>
        <v>0.1954965035</v>
      </c>
      <c r="H129" s="9">
        <f>VLOOKUP($A129,'k=2'!$A$2:$E$154,4,0)</f>
        <v>240</v>
      </c>
      <c r="I129" s="9">
        <f>VLOOKUP($A129,'k=3'!$A$2:$E$154,4,0)</f>
        <v>106</v>
      </c>
      <c r="J129" s="9">
        <f>VLOOKUP($A129,'k=4'!$A$2:$E$154,4,0)</f>
        <v>51</v>
      </c>
      <c r="K129" s="9">
        <f>VLOOKUP($A129,'k=5'!$A$2:$E$154,4,0)</f>
        <v>21</v>
      </c>
      <c r="L129" s="9">
        <f>VLOOKUP($A129,'k=6'!$A$2:$E$154,4,0)</f>
        <v>7</v>
      </c>
      <c r="N129" s="13">
        <f t="shared" si="1"/>
        <v>0.02600184286</v>
      </c>
      <c r="P129" s="26" t="s">
        <v>142</v>
      </c>
      <c r="Q129" s="13">
        <v>0.10407761613489809</v>
      </c>
    </row>
    <row r="130">
      <c r="A130" s="30" t="s">
        <v>18</v>
      </c>
      <c r="B130" s="31">
        <f>VLOOKUP($A130,'k=2'!$A$2:$E$154,5,0)</f>
        <v>0.004206185567</v>
      </c>
      <c r="C130" s="31">
        <f>VLOOKUP($A130,'k=3'!$A$2:$E$154,5,0)</f>
        <v>0.0113814433</v>
      </c>
      <c r="D130" s="31">
        <f>VLOOKUP($A130,'k=4'!$A$2:$E$154,5,0)</f>
        <v>0.01362886598</v>
      </c>
      <c r="E130" s="31">
        <f>VLOOKUP($A130,'k=5'!$A$2:$E$154,5,0)</f>
        <v>0.08771134021</v>
      </c>
      <c r="F130" s="31">
        <f>VLOOKUP($A130,'k=6'!$A$2:$E$154,5,0)</f>
        <v>0.02830927835</v>
      </c>
      <c r="G130" s="32"/>
      <c r="H130" s="32">
        <f>VLOOKUP($A130,'k=2'!$A$2:$E$154,4,0)</f>
        <v>148</v>
      </c>
      <c r="I130" s="32">
        <f>VLOOKUP($A130,'k=3'!$A$2:$E$154,4,0)</f>
        <v>60</v>
      </c>
      <c r="J130" s="32">
        <f>VLOOKUP($A130,'k=4'!$A$2:$E$154,4,0)</f>
        <v>26</v>
      </c>
      <c r="K130" s="32">
        <f>VLOOKUP($A130,'k=5'!$A$2:$E$154,4,0)</f>
        <v>9</v>
      </c>
      <c r="L130" s="32">
        <f>VLOOKUP($A130,'k=6'!$A$2:$E$154,4,0)</f>
        <v>6</v>
      </c>
      <c r="N130" s="13">
        <f t="shared" si="1"/>
        <v>0.01051811369</v>
      </c>
      <c r="P130" s="26" t="s">
        <v>184</v>
      </c>
      <c r="Q130" s="13">
        <v>0.10443873355263157</v>
      </c>
    </row>
    <row r="131">
      <c r="A131" s="26" t="s">
        <v>153</v>
      </c>
      <c r="B131" s="13">
        <f>VLOOKUP($A131,'k=2'!$A$2:$E$154,5,0)</f>
        <v>0.05440707965</v>
      </c>
      <c r="C131" s="13">
        <f>VLOOKUP($A131,'k=3'!$A$2:$E$154,5,0)</f>
        <v>0.2806371681</v>
      </c>
      <c r="D131" s="13">
        <f>VLOOKUP($A131,'k=4'!$A$2:$E$154,5,0)</f>
        <v>0.4898230088</v>
      </c>
      <c r="E131" s="13">
        <f>VLOOKUP($A131,'k=5'!$A$2:$E$154,5,0)</f>
        <v>0.7633274336</v>
      </c>
      <c r="F131" s="13">
        <f>VLOOKUP($A131,'k=6'!$A$2:$E$154,5,0)</f>
        <v>1</v>
      </c>
      <c r="H131" s="9">
        <f>VLOOKUP($A131,'k=2'!$A$2:$E$154,4,0)</f>
        <v>116</v>
      </c>
      <c r="I131" s="9">
        <f>VLOOKUP($A131,'k=3'!$A$2:$E$154,4,0)</f>
        <v>32</v>
      </c>
      <c r="J131" s="9">
        <f>VLOOKUP($A131,'k=4'!$A$2:$E$154,4,0)</f>
        <v>8</v>
      </c>
      <c r="K131" s="9">
        <f>VLOOKUP($A131,'k=5'!$A$2:$E$154,4,0)</f>
        <v>1</v>
      </c>
      <c r="L131" s="9">
        <f>VLOOKUP($A131,'k=6'!$A$2:$E$154,4,0)</f>
        <v>0</v>
      </c>
      <c r="N131" s="13">
        <f t="shared" si="1"/>
        <v>0.1272198861</v>
      </c>
      <c r="P131" s="26" t="s">
        <v>174</v>
      </c>
      <c r="Q131" s="13">
        <v>0.1045242988058872</v>
      </c>
    </row>
    <row r="132">
      <c r="A132" s="26" t="s">
        <v>165</v>
      </c>
      <c r="B132" s="13">
        <f>VLOOKUP($A132,'k=2'!$A$2:$E$154,5,0)</f>
        <v>0.0636557377</v>
      </c>
      <c r="C132" s="13">
        <f>VLOOKUP($A132,'k=3'!$A$2:$E$154,5,0)</f>
        <v>0.1375081967</v>
      </c>
      <c r="D132" s="13">
        <f>VLOOKUP($A132,'k=4'!$A$2:$E$154,5,0)</f>
        <v>0.1763770492</v>
      </c>
      <c r="E132" s="13">
        <f>VLOOKUP($A132,'k=5'!$A$2:$E$154,5,0)</f>
        <v>0.2112131148</v>
      </c>
      <c r="F132" s="13">
        <f>VLOOKUP($A132,'k=6'!$A$2:$E$154,5,0)</f>
        <v>0.3149672131</v>
      </c>
      <c r="H132" s="9">
        <f>VLOOKUP($A132,'k=2'!$A$2:$E$154,4,0)</f>
        <v>350</v>
      </c>
      <c r="I132" s="9">
        <f>VLOOKUP($A132,'k=3'!$A$2:$E$154,4,0)</f>
        <v>141</v>
      </c>
      <c r="J132" s="9">
        <f>VLOOKUP($A132,'k=4'!$A$2:$E$154,4,0)</f>
        <v>58</v>
      </c>
      <c r="K132" s="9">
        <f>VLOOKUP($A132,'k=5'!$A$2:$E$154,4,0)</f>
        <v>25</v>
      </c>
      <c r="L132" s="9">
        <f>VLOOKUP($A132,'k=6'!$A$2:$E$154,4,0)</f>
        <v>9</v>
      </c>
      <c r="N132" s="13">
        <f t="shared" si="1"/>
        <v>0.1029383629</v>
      </c>
      <c r="P132" s="26" t="s">
        <v>180</v>
      </c>
      <c r="Q132" s="13">
        <v>0.10581723684210516</v>
      </c>
    </row>
    <row r="133">
      <c r="A133" s="26" t="s">
        <v>157</v>
      </c>
      <c r="B133" s="13">
        <f>VLOOKUP($A133,'k=2'!$A$2:$E$154,5,0)</f>
        <v>0.05816</v>
      </c>
      <c r="C133" s="13">
        <f>VLOOKUP($A133,'k=3'!$A$2:$E$154,5,0)</f>
        <v>0.058544</v>
      </c>
      <c r="D133" s="13">
        <f>VLOOKUP($A133,'k=4'!$A$2:$E$154,5,0)</f>
        <v>0.087248</v>
      </c>
      <c r="E133" s="13">
        <f>VLOOKUP($A133,'k=5'!$A$2:$E$154,5,0)</f>
        <v>0.00704</v>
      </c>
      <c r="F133" s="13">
        <f>VLOOKUP($A133,'k=6'!$A$2:$E$154,5,0)</f>
        <v>0.001984</v>
      </c>
      <c r="H133" s="9">
        <f>VLOOKUP($A133,'k=2'!$A$2:$E$154,4,0)</f>
        <v>207</v>
      </c>
      <c r="I133" s="9">
        <f>VLOOKUP($A133,'k=3'!$A$2:$E$154,4,0)</f>
        <v>92</v>
      </c>
      <c r="J133" s="9">
        <f>VLOOKUP($A133,'k=4'!$A$2:$E$154,4,0)</f>
        <v>39</v>
      </c>
      <c r="K133" s="9">
        <f>VLOOKUP($A133,'k=5'!$A$2:$E$154,4,0)</f>
        <v>26</v>
      </c>
      <c r="L133" s="9">
        <f>VLOOKUP($A133,'k=6'!$A$2:$E$154,4,0)</f>
        <v>16</v>
      </c>
      <c r="N133" s="13">
        <f t="shared" si="1"/>
        <v>0.05537532632</v>
      </c>
      <c r="P133" s="26" t="s">
        <v>139</v>
      </c>
      <c r="Q133" s="13">
        <v>0.10769746099724668</v>
      </c>
    </row>
    <row r="134">
      <c r="A134" s="26" t="s">
        <v>188</v>
      </c>
      <c r="B134" s="13">
        <f>VLOOKUP($A134,'k=2'!$A$2:$E$154,5,0)</f>
        <v>0.1202191781</v>
      </c>
      <c r="C134" s="13">
        <f>VLOOKUP($A134,'k=3'!$A$2:$E$154,5,0)</f>
        <v>0.3643561644</v>
      </c>
      <c r="D134" s="13">
        <f>VLOOKUP($A134,'k=4'!$A$2:$E$154,5,0)</f>
        <v>0.4779726027</v>
      </c>
      <c r="E134" s="13">
        <f>VLOOKUP($A134,'k=5'!$A$2:$E$154,5,0)</f>
        <v>1</v>
      </c>
      <c r="F134" s="13">
        <f>VLOOKUP($A134,'k=6'!$A$2:$E$154,5,0)</f>
        <v>1</v>
      </c>
      <c r="H134" s="9">
        <f>VLOOKUP($A134,'k=2'!$A$2:$E$154,4,0)</f>
        <v>92</v>
      </c>
      <c r="I134" s="9">
        <f>VLOOKUP($A134,'k=3'!$A$2:$E$154,4,0)</f>
        <v>28</v>
      </c>
      <c r="J134" s="9">
        <f>VLOOKUP($A134,'k=4'!$A$2:$E$154,4,0)</f>
        <v>9</v>
      </c>
      <c r="K134" s="9">
        <f>VLOOKUP($A134,'k=5'!$A$2:$E$154,4,0)</f>
        <v>0</v>
      </c>
      <c r="L134" s="9">
        <f>VLOOKUP($A134,'k=6'!$A$2:$E$154,4,0)</f>
        <v>0</v>
      </c>
      <c r="N134" s="13">
        <f t="shared" si="1"/>
        <v>0.1981696931</v>
      </c>
      <c r="P134" s="26" t="s">
        <v>148</v>
      </c>
      <c r="Q134" s="13">
        <v>0.10911040525739298</v>
      </c>
    </row>
    <row r="135">
      <c r="A135" s="26" t="s">
        <v>182</v>
      </c>
      <c r="B135" s="13">
        <f>VLOOKUP($A135,'k=2'!$A$2:$E$154,5,0)</f>
        <v>0.09140625</v>
      </c>
      <c r="C135" s="13">
        <f>VLOOKUP($A135,'k=3'!$A$2:$E$154,5,0)</f>
        <v>0.2924375</v>
      </c>
      <c r="D135" s="13">
        <f>VLOOKUP($A135,'k=4'!$A$2:$E$154,5,0)</f>
        <v>0.4090625</v>
      </c>
      <c r="E135" s="13">
        <f>VLOOKUP($A135,'k=5'!$A$2:$E$154,5,0)</f>
        <v>0.68003125</v>
      </c>
      <c r="F135" s="13">
        <f>VLOOKUP($A135,'k=6'!$A$2:$E$154,5,0)</f>
        <v>1</v>
      </c>
      <c r="H135" s="9">
        <f>VLOOKUP($A135,'k=2'!$A$2:$E$154,4,0)</f>
        <v>122</v>
      </c>
      <c r="I135" s="9">
        <f>VLOOKUP($A135,'k=3'!$A$2:$E$154,4,0)</f>
        <v>39</v>
      </c>
      <c r="J135" s="9">
        <f>VLOOKUP($A135,'k=4'!$A$2:$E$154,4,0)</f>
        <v>14</v>
      </c>
      <c r="K135" s="9">
        <f>VLOOKUP($A135,'k=5'!$A$2:$E$154,4,0)</f>
        <v>3</v>
      </c>
      <c r="L135" s="9">
        <f>VLOOKUP($A135,'k=6'!$A$2:$E$154,4,0)</f>
        <v>0</v>
      </c>
      <c r="N135" s="13">
        <f t="shared" si="1"/>
        <v>0.1703572683</v>
      </c>
      <c r="P135" s="26" t="s">
        <v>170</v>
      </c>
      <c r="Q135" s="13">
        <v>0.10945098284712632</v>
      </c>
    </row>
    <row r="136">
      <c r="A136" s="26" t="s">
        <v>175</v>
      </c>
      <c r="B136" s="13">
        <f>VLOOKUP($A136,'k=2'!$A$2:$E$154,5,0)</f>
        <v>0.07507692308</v>
      </c>
      <c r="C136" s="13">
        <f>VLOOKUP($A136,'k=3'!$A$2:$E$154,5,0)</f>
        <v>0.1243296703</v>
      </c>
      <c r="D136" s="13">
        <f>VLOOKUP($A136,'k=4'!$A$2:$E$154,5,0)</f>
        <v>0.1383516484</v>
      </c>
      <c r="E136" s="13">
        <f>VLOOKUP($A136,'k=5'!$A$2:$E$154,5,0)</f>
        <v>0.2023736264</v>
      </c>
      <c r="F136" s="13">
        <f>VLOOKUP($A136,'k=6'!$A$2:$E$154,5,0)</f>
        <v>0.2778241758</v>
      </c>
      <c r="H136" s="9">
        <f>VLOOKUP($A136,'k=2'!$A$2:$E$154,4,0)</f>
        <v>257</v>
      </c>
      <c r="I136" s="9">
        <f>VLOOKUP($A136,'k=3'!$A$2:$E$154,4,0)</f>
        <v>104</v>
      </c>
      <c r="J136" s="9">
        <f>VLOOKUP($A136,'k=4'!$A$2:$E$154,4,0)</f>
        <v>45</v>
      </c>
      <c r="K136" s="9">
        <f>VLOOKUP($A136,'k=5'!$A$2:$E$154,4,0)</f>
        <v>18</v>
      </c>
      <c r="L136" s="9">
        <f>VLOOKUP($A136,'k=6'!$A$2:$E$154,4,0)</f>
        <v>7</v>
      </c>
      <c r="N136" s="13">
        <f t="shared" si="1"/>
        <v>0.102177201</v>
      </c>
      <c r="P136" s="26" t="s">
        <v>132</v>
      </c>
      <c r="Q136" s="13">
        <v>0.10999807749186612</v>
      </c>
    </row>
    <row r="137">
      <c r="A137" s="26" t="s">
        <v>66</v>
      </c>
      <c r="B137" s="13">
        <f>VLOOKUP($A137,'k=2'!$A$2:$E$154,5,0)</f>
        <v>0.01729411765</v>
      </c>
      <c r="C137" s="13">
        <f>VLOOKUP($A137,'k=3'!$A$2:$E$154,5,0)</f>
        <v>0.01252941176</v>
      </c>
      <c r="D137" s="13">
        <f>VLOOKUP($A137,'k=4'!$A$2:$E$154,5,0)</f>
        <v>0.03370588235</v>
      </c>
      <c r="E137" s="13">
        <f>VLOOKUP($A137,'k=5'!$A$2:$E$154,5,0)</f>
        <v>0.06411764706</v>
      </c>
      <c r="F137" s="13">
        <f>VLOOKUP($A137,'k=6'!$A$2:$E$154,5,0)</f>
        <v>0.06983823529</v>
      </c>
      <c r="H137" s="9">
        <f>VLOOKUP($A137,'k=2'!$A$2:$E$154,4,0)</f>
        <v>364</v>
      </c>
      <c r="I137" s="9">
        <f>VLOOKUP($A137,'k=3'!$A$2:$E$154,4,0)</f>
        <v>177</v>
      </c>
      <c r="J137" s="9">
        <f>VLOOKUP($A137,'k=4'!$A$2:$E$154,4,0)</f>
        <v>80</v>
      </c>
      <c r="K137" s="9">
        <f>VLOOKUP($A137,'k=5'!$A$2:$E$154,4,0)</f>
        <v>36</v>
      </c>
      <c r="L137" s="9">
        <f>VLOOKUP($A137,'k=6'!$A$2:$E$154,4,0)</f>
        <v>17</v>
      </c>
      <c r="N137" s="13">
        <f t="shared" si="1"/>
        <v>0.02181709286</v>
      </c>
      <c r="P137" s="26" t="s">
        <v>179</v>
      </c>
      <c r="Q137" s="13">
        <v>0.11333798519407738</v>
      </c>
    </row>
    <row r="138">
      <c r="A138" s="26" t="s">
        <v>22</v>
      </c>
      <c r="B138" s="13">
        <f>VLOOKUP($A138,'k=2'!$A$2:$E$154,5,0)</f>
        <v>0.004957142857</v>
      </c>
      <c r="C138" s="13">
        <f>VLOOKUP($A138,'k=3'!$A$2:$E$154,5,0)</f>
        <v>0.0137</v>
      </c>
      <c r="D138" s="13">
        <f>VLOOKUP($A138,'k=4'!$A$2:$E$154,5,0)</f>
        <v>0.008328571429</v>
      </c>
      <c r="E138" s="13">
        <f>VLOOKUP($A138,'k=5'!$A$2:$E$154,5,0)</f>
        <v>0.05391428571</v>
      </c>
      <c r="F138" s="13">
        <f>VLOOKUP($A138,'k=6'!$A$2:$E$154,5,0)</f>
        <v>0.009985714286</v>
      </c>
      <c r="H138" s="9">
        <f>VLOOKUP($A138,'k=2'!$A$2:$E$154,4,0)</f>
        <v>252</v>
      </c>
      <c r="I138" s="9">
        <f>VLOOKUP($A138,'k=3'!$A$2:$E$154,4,0)</f>
        <v>113</v>
      </c>
      <c r="J138" s="9">
        <f>VLOOKUP($A138,'k=4'!$A$2:$E$154,4,0)</f>
        <v>53</v>
      </c>
      <c r="K138" s="9">
        <f>VLOOKUP($A138,'k=5'!$A$2:$E$154,4,0)</f>
        <v>21</v>
      </c>
      <c r="L138" s="9">
        <f>VLOOKUP($A138,'k=6'!$A$2:$E$154,4,0)</f>
        <v>14</v>
      </c>
      <c r="N138" s="13">
        <f t="shared" si="1"/>
        <v>0.009957426679</v>
      </c>
      <c r="P138" s="26" t="s">
        <v>173</v>
      </c>
      <c r="Q138" s="13">
        <v>0.11564813425199505</v>
      </c>
    </row>
    <row r="139">
      <c r="A139" s="26" t="s">
        <v>65</v>
      </c>
      <c r="B139" s="13">
        <f>VLOOKUP($A139,'k=2'!$A$2:$E$154,5,0)</f>
        <v>0.01720567376</v>
      </c>
      <c r="C139" s="13">
        <f>VLOOKUP($A139,'k=3'!$A$2:$E$154,5,0)</f>
        <v>0.01913475177</v>
      </c>
      <c r="D139" s="13">
        <f>VLOOKUP($A139,'k=4'!$A$2:$E$154,5,0)</f>
        <v>0.0175177305</v>
      </c>
      <c r="E139" s="13">
        <f>VLOOKUP($A139,'k=5'!$A$2:$E$154,5,0)</f>
        <v>0.01868085106</v>
      </c>
      <c r="F139" s="13">
        <f>VLOOKUP($A139,'k=6'!$A$2:$E$154,5,0)</f>
        <v>0.01312056738</v>
      </c>
      <c r="H139" s="9">
        <f>VLOOKUP($A139,'k=2'!$A$2:$E$154,4,0)</f>
        <v>303</v>
      </c>
      <c r="I139" s="9">
        <f>VLOOKUP($A139,'k=3'!$A$2:$E$154,4,0)</f>
        <v>149</v>
      </c>
      <c r="J139" s="9">
        <f>VLOOKUP($A139,'k=4'!$A$2:$E$154,4,0)</f>
        <v>74</v>
      </c>
      <c r="K139" s="9">
        <f>VLOOKUP($A139,'k=5'!$A$2:$E$154,4,0)</f>
        <v>38</v>
      </c>
      <c r="L139" s="9">
        <f>VLOOKUP($A139,'k=6'!$A$2:$E$154,4,0)</f>
        <v>21</v>
      </c>
      <c r="N139" s="13">
        <f t="shared" si="1"/>
        <v>0.01768566406</v>
      </c>
      <c r="P139" s="26" t="s">
        <v>167</v>
      </c>
      <c r="Q139" s="13">
        <v>0.12318452020534404</v>
      </c>
    </row>
    <row r="140">
      <c r="A140" s="26" t="s">
        <v>113</v>
      </c>
      <c r="B140" s="13">
        <f>VLOOKUP($A140,'k=2'!$A$2:$E$154,5,0)</f>
        <v>0.03720408163</v>
      </c>
      <c r="C140" s="13">
        <f>VLOOKUP($A140,'k=3'!$A$2:$E$154,5,0)</f>
        <v>0.09236734694</v>
      </c>
      <c r="D140" s="13">
        <f>VLOOKUP($A140,'k=4'!$A$2:$E$154,5,0)</f>
        <v>0.1995306122</v>
      </c>
      <c r="E140" s="13">
        <f>VLOOKUP($A140,'k=5'!$A$2:$E$154,5,0)</f>
        <v>0.2615714286</v>
      </c>
      <c r="F140" s="13">
        <f>VLOOKUP($A140,'k=6'!$A$2:$E$154,5,0)</f>
        <v>0.5991836735</v>
      </c>
      <c r="H140" s="9">
        <f>VLOOKUP($A140,'k=2'!$A$2:$E$154,4,0)</f>
        <v>229</v>
      </c>
      <c r="I140" s="9">
        <f>VLOOKUP($A140,'k=3'!$A$2:$E$154,4,0)</f>
        <v>87</v>
      </c>
      <c r="J140" s="9">
        <f>VLOOKUP($A140,'k=4'!$A$2:$E$154,4,0)</f>
        <v>31</v>
      </c>
      <c r="K140" s="9">
        <f>VLOOKUP($A140,'k=5'!$A$2:$E$154,4,0)</f>
        <v>11</v>
      </c>
      <c r="L140" s="9">
        <f>VLOOKUP($A140,'k=6'!$A$2:$E$154,4,0)</f>
        <v>2</v>
      </c>
      <c r="N140" s="13">
        <f t="shared" si="1"/>
        <v>0.07449109977</v>
      </c>
      <c r="P140" s="26" t="s">
        <v>178</v>
      </c>
      <c r="Q140" s="13">
        <v>0.1236169043722233</v>
      </c>
    </row>
    <row r="141">
      <c r="A141" s="30" t="s">
        <v>93</v>
      </c>
      <c r="B141" s="31">
        <f>VLOOKUP($A141,'k=2'!$A$2:$E$154,5,0)</f>
        <v>0.02959322034</v>
      </c>
      <c r="C141" s="31">
        <f>VLOOKUP($A141,'k=3'!$A$2:$E$154,5,0)</f>
        <v>0.01627118644</v>
      </c>
      <c r="D141" s="31">
        <f>VLOOKUP($A141,'k=4'!$A$2:$E$154,5,0)</f>
        <v>0.007898305085</v>
      </c>
      <c r="E141" s="31">
        <f>VLOOKUP($A141,'k=5'!$A$2:$E$154,5,0)</f>
        <v>0.01538983051</v>
      </c>
      <c r="F141" s="31">
        <f>VLOOKUP($A141,'k=6'!$A$2:$E$154,5,0)</f>
        <v>0.01840677966</v>
      </c>
      <c r="G141" s="32"/>
      <c r="H141" s="32">
        <f>VLOOKUP($A141,'k=2'!$A$2:$E$154,4,0)</f>
        <v>142</v>
      </c>
      <c r="I141" s="32">
        <f>VLOOKUP($A141,'k=3'!$A$2:$E$154,4,0)</f>
        <v>65</v>
      </c>
      <c r="J141" s="32">
        <f>VLOOKUP($A141,'k=4'!$A$2:$E$154,4,0)</f>
        <v>32</v>
      </c>
      <c r="K141" s="32">
        <f>VLOOKUP($A141,'k=5'!$A$2:$E$154,4,0)</f>
        <v>16</v>
      </c>
      <c r="L141" s="32">
        <f>VLOOKUP($A141,'k=6'!$A$2:$E$154,4,0)</f>
        <v>8</v>
      </c>
      <c r="N141" s="13">
        <f t="shared" si="1"/>
        <v>0.02245666044</v>
      </c>
      <c r="P141" s="26" t="s">
        <v>181</v>
      </c>
      <c r="Q141" s="13">
        <v>0.12389989989989952</v>
      </c>
    </row>
    <row r="142">
      <c r="A142" s="26" t="s">
        <v>128</v>
      </c>
      <c r="B142" s="13">
        <f>VLOOKUP($A142,'k=2'!$A$2:$E$154,5,0)</f>
        <v>0.0440877193</v>
      </c>
      <c r="C142" s="13">
        <f>VLOOKUP($A142,'k=3'!$A$2:$E$154,5,0)</f>
        <v>0.07440350877</v>
      </c>
      <c r="D142" s="13">
        <f>VLOOKUP($A142,'k=4'!$A$2:$E$154,5,0)</f>
        <v>0.1515614035</v>
      </c>
      <c r="E142" s="13">
        <f>VLOOKUP($A142,'k=5'!$A$2:$E$154,5,0)</f>
        <v>0.1193157895</v>
      </c>
      <c r="F142" s="13">
        <f>VLOOKUP($A142,'k=6'!$A$2:$E$154,5,0)</f>
        <v>0.04519298246</v>
      </c>
      <c r="H142" s="9">
        <f>VLOOKUP($A142,'k=2'!$A$2:$E$154,4,0)</f>
        <v>364</v>
      </c>
      <c r="I142" s="9">
        <f>VLOOKUP($A142,'k=3'!$A$2:$E$154,4,0)</f>
        <v>157</v>
      </c>
      <c r="J142" s="9">
        <f>VLOOKUP($A142,'k=4'!$A$2:$E$154,4,0)</f>
        <v>63</v>
      </c>
      <c r="K142" s="9">
        <f>VLOOKUP($A142,'k=5'!$A$2:$E$154,4,0)</f>
        <v>32</v>
      </c>
      <c r="L142" s="9">
        <f>VLOOKUP($A142,'k=6'!$A$2:$E$154,4,0)</f>
        <v>21</v>
      </c>
      <c r="N142" s="13">
        <f t="shared" si="1"/>
        <v>0.06600440662</v>
      </c>
      <c r="P142" s="26" t="s">
        <v>168</v>
      </c>
      <c r="Q142" s="13">
        <v>0.12610765583600594</v>
      </c>
    </row>
    <row r="143">
      <c r="A143" s="26" t="s">
        <v>115</v>
      </c>
      <c r="B143" s="13">
        <f>VLOOKUP($A143,'k=2'!$A$2:$E$154,5,0)</f>
        <v>0.03750769231</v>
      </c>
      <c r="C143" s="13">
        <f>VLOOKUP($A143,'k=3'!$A$2:$E$154,5,0)</f>
        <v>0.08646153846</v>
      </c>
      <c r="D143" s="13">
        <f>VLOOKUP($A143,'k=4'!$A$2:$E$154,5,0)</f>
        <v>0.1878769231</v>
      </c>
      <c r="E143" s="13">
        <f>VLOOKUP($A143,'k=5'!$A$2:$E$154,5,0)</f>
        <v>0.4823384615</v>
      </c>
      <c r="F143" s="13">
        <f>VLOOKUP($A143,'k=6'!$A$2:$E$154,5,0)</f>
        <v>1</v>
      </c>
      <c r="H143" s="9">
        <f>VLOOKUP($A143,'k=2'!$A$2:$E$154,4,0)</f>
        <v>124</v>
      </c>
      <c r="I143" s="9">
        <f>VLOOKUP($A143,'k=3'!$A$2:$E$154,4,0)</f>
        <v>51</v>
      </c>
      <c r="J143" s="9">
        <f>VLOOKUP($A143,'k=4'!$A$2:$E$154,4,0)</f>
        <v>19</v>
      </c>
      <c r="K143" s="9">
        <f>VLOOKUP($A143,'k=5'!$A$2:$E$154,4,0)</f>
        <v>5</v>
      </c>
      <c r="L143" s="9">
        <f>VLOOKUP($A143,'k=6'!$A$2:$E$154,4,0)</f>
        <v>0</v>
      </c>
      <c r="N143" s="13">
        <f t="shared" si="1"/>
        <v>0.0755871666</v>
      </c>
      <c r="P143" s="26" t="s">
        <v>161</v>
      </c>
      <c r="Q143" s="13">
        <v>0.12660415584415577</v>
      </c>
    </row>
    <row r="144">
      <c r="A144" s="26" t="s">
        <v>24</v>
      </c>
      <c r="B144" s="13">
        <f>VLOOKUP($A144,'k=2'!$A$2:$E$154,5,0)</f>
        <v>0.005105263158</v>
      </c>
      <c r="C144" s="13">
        <f>VLOOKUP($A144,'k=3'!$A$2:$E$154,5,0)</f>
        <v>0.007912280702</v>
      </c>
      <c r="D144" s="13">
        <f>VLOOKUP($A144,'k=4'!$A$2:$E$154,5,0)</f>
        <v>0.03477192982</v>
      </c>
      <c r="E144" s="13">
        <f>VLOOKUP($A144,'k=5'!$A$2:$E$154,5,0)</f>
        <v>0.06489473684</v>
      </c>
      <c r="F144" s="13">
        <f>VLOOKUP($A144,'k=6'!$A$2:$E$154,5,0)</f>
        <v>0.03250877193</v>
      </c>
      <c r="H144" s="9">
        <f>VLOOKUP($A144,'k=2'!$A$2:$E$154,4,0)</f>
        <v>280</v>
      </c>
      <c r="I144" s="9">
        <f>VLOOKUP($A144,'k=3'!$A$2:$E$154,4,0)</f>
        <v>130</v>
      </c>
      <c r="J144" s="9">
        <f>VLOOKUP($A144,'k=4'!$A$2:$E$154,4,0)</f>
        <v>53</v>
      </c>
      <c r="K144" s="9">
        <f>VLOOKUP($A144,'k=5'!$A$2:$E$154,4,0)</f>
        <v>22</v>
      </c>
      <c r="L144" s="9">
        <f>VLOOKUP($A144,'k=6'!$A$2:$E$154,4,0)</f>
        <v>13</v>
      </c>
      <c r="N144" s="13">
        <f t="shared" si="1"/>
        <v>0.01235196928</v>
      </c>
      <c r="P144" s="26" t="s">
        <v>153</v>
      </c>
      <c r="Q144" s="13">
        <v>0.1272198861394508</v>
      </c>
    </row>
    <row r="145">
      <c r="A145" s="26" t="s">
        <v>56</v>
      </c>
      <c r="B145" s="13">
        <f>VLOOKUP($A145,'k=2'!$A$2:$E$154,5,0)</f>
        <v>0.01528333333</v>
      </c>
      <c r="C145" s="13">
        <f>VLOOKUP($A145,'k=3'!$A$2:$E$154,5,0)</f>
        <v>0.02421666667</v>
      </c>
      <c r="D145" s="13">
        <f>VLOOKUP($A145,'k=4'!$A$2:$E$154,5,0)</f>
        <v>0.1073</v>
      </c>
      <c r="E145" s="13">
        <f>VLOOKUP($A145,'k=5'!$A$2:$E$154,5,0)</f>
        <v>0.14655</v>
      </c>
      <c r="F145" s="13">
        <f>VLOOKUP($A145,'k=6'!$A$2:$E$154,5,0)</f>
        <v>0.3813666667</v>
      </c>
      <c r="H145" s="9">
        <f>VLOOKUP($A145,'k=2'!$A$2:$E$154,4,0)</f>
        <v>182</v>
      </c>
      <c r="I145" s="9">
        <f>VLOOKUP($A145,'k=3'!$A$2:$E$154,4,0)</f>
        <v>76</v>
      </c>
      <c r="J145" s="9">
        <f>VLOOKUP($A145,'k=4'!$A$2:$E$154,4,0)</f>
        <v>26</v>
      </c>
      <c r="K145" s="9">
        <f>VLOOKUP($A145,'k=5'!$A$2:$E$154,4,0)</f>
        <v>10</v>
      </c>
      <c r="L145" s="9">
        <f>VLOOKUP($A145,'k=6'!$A$2:$E$154,4,0)</f>
        <v>2</v>
      </c>
      <c r="N145" s="13">
        <f t="shared" si="1"/>
        <v>0.03256779279</v>
      </c>
      <c r="P145" s="26" t="s">
        <v>176</v>
      </c>
      <c r="Q145" s="13">
        <v>0.134072665992585</v>
      </c>
    </row>
    <row r="146">
      <c r="A146" s="26" t="s">
        <v>68</v>
      </c>
      <c r="B146" s="13">
        <f>VLOOKUP($A146,'k=2'!$A$2:$E$154,5,0)</f>
        <v>0.01831067961</v>
      </c>
      <c r="C146" s="13">
        <f>VLOOKUP($A146,'k=3'!$A$2:$E$154,5,0)</f>
        <v>0.03877669903</v>
      </c>
      <c r="D146" s="13">
        <f>VLOOKUP($A146,'k=4'!$A$2:$E$154,5,0)</f>
        <v>0.09118446602</v>
      </c>
      <c r="E146" s="13">
        <f>VLOOKUP($A146,'k=5'!$A$2:$E$154,5,0)</f>
        <v>0.08654368932</v>
      </c>
      <c r="F146" s="13">
        <f>VLOOKUP($A146,'k=6'!$A$2:$E$154,5,0)</f>
        <v>0.1527961165</v>
      </c>
      <c r="H146" s="9">
        <f>VLOOKUP($A146,'k=2'!$A$2:$E$154,4,0)</f>
        <v>256</v>
      </c>
      <c r="I146" s="9">
        <f>VLOOKUP($A146,'k=3'!$A$2:$E$154,4,0)</f>
        <v>115</v>
      </c>
      <c r="J146" s="9">
        <f>VLOOKUP($A146,'k=4'!$A$2:$E$154,4,0)</f>
        <v>47</v>
      </c>
      <c r="K146" s="9">
        <f>VLOOKUP($A146,'k=5'!$A$2:$E$154,4,0)</f>
        <v>22</v>
      </c>
      <c r="L146" s="9">
        <f>VLOOKUP($A146,'k=6'!$A$2:$E$154,4,0)</f>
        <v>9</v>
      </c>
      <c r="N146" s="13">
        <f t="shared" si="1"/>
        <v>0.03721971155</v>
      </c>
      <c r="P146" s="26" t="s">
        <v>186</v>
      </c>
      <c r="Q146" s="13">
        <v>0.13490090090090073</v>
      </c>
    </row>
    <row r="147">
      <c r="A147" s="26" t="s">
        <v>87</v>
      </c>
      <c r="B147" s="13">
        <f>VLOOKUP($A147,'k=2'!$A$2:$E$154,5,0)</f>
        <v>0.02696842105</v>
      </c>
      <c r="C147" s="13">
        <f>VLOOKUP($A147,'k=3'!$A$2:$E$154,5,0)</f>
        <v>0.05073684211</v>
      </c>
      <c r="D147" s="13">
        <f>VLOOKUP($A147,'k=4'!$A$2:$E$154,5,0)</f>
        <v>0.1021894737</v>
      </c>
      <c r="E147" s="13">
        <f>VLOOKUP($A147,'k=5'!$A$2:$E$154,5,0)</f>
        <v>0.2426315789</v>
      </c>
      <c r="F147" s="13">
        <f>VLOOKUP($A147,'k=6'!$A$2:$E$154,5,0)</f>
        <v>0.3153684211</v>
      </c>
      <c r="H147" s="9">
        <f>VLOOKUP($A147,'k=2'!$A$2:$E$154,4,0)</f>
        <v>318</v>
      </c>
      <c r="I147" s="9">
        <f>VLOOKUP($A147,'k=3'!$A$2:$E$154,4,0)</f>
        <v>147</v>
      </c>
      <c r="J147" s="9">
        <f>VLOOKUP($A147,'k=4'!$A$2:$E$154,4,0)</f>
        <v>63</v>
      </c>
      <c r="K147" s="9">
        <f>VLOOKUP($A147,'k=5'!$A$2:$E$154,4,0)</f>
        <v>23</v>
      </c>
      <c r="L147" s="9">
        <f>VLOOKUP($A147,'k=6'!$A$2:$E$154,4,0)</f>
        <v>9</v>
      </c>
      <c r="N147" s="13">
        <f t="shared" si="1"/>
        <v>0.05516259398</v>
      </c>
      <c r="P147" s="26" t="s">
        <v>166</v>
      </c>
      <c r="Q147" s="13">
        <v>0.138202921884317</v>
      </c>
    </row>
    <row r="148">
      <c r="A148" s="26" t="s">
        <v>122</v>
      </c>
      <c r="B148" s="13">
        <f>VLOOKUP($A148,'k=2'!$A$2:$E$154,5,0)</f>
        <v>0.04158415842</v>
      </c>
      <c r="C148" s="13">
        <f>VLOOKUP($A148,'k=3'!$A$2:$E$154,5,0)</f>
        <v>0.1211881188</v>
      </c>
      <c r="D148" s="13">
        <f>VLOOKUP($A148,'k=4'!$A$2:$E$154,5,0)</f>
        <v>0.1861584158</v>
      </c>
      <c r="E148" s="13">
        <f>VLOOKUP($A148,'k=5'!$A$2:$E$154,5,0)</f>
        <v>0.2123960396</v>
      </c>
      <c r="F148" s="13">
        <f>VLOOKUP($A148,'k=6'!$A$2:$E$154,5,0)</f>
        <v>0.5206534653</v>
      </c>
      <c r="H148" s="9">
        <f>VLOOKUP($A148,'k=2'!$A$2:$E$154,4,0)</f>
        <v>260</v>
      </c>
      <c r="I148" s="9">
        <f>VLOOKUP($A148,'k=3'!$A$2:$E$154,4,0)</f>
        <v>102</v>
      </c>
      <c r="J148" s="9">
        <f>VLOOKUP($A148,'k=4'!$A$2:$E$154,4,0)</f>
        <v>41</v>
      </c>
      <c r="K148" s="9">
        <f>VLOOKUP($A148,'k=5'!$A$2:$E$154,4,0)</f>
        <v>17</v>
      </c>
      <c r="L148" s="9">
        <f>VLOOKUP($A148,'k=6'!$A$2:$E$154,4,0)</f>
        <v>4</v>
      </c>
      <c r="N148" s="13">
        <f t="shared" si="1"/>
        <v>0.08608233701</v>
      </c>
      <c r="P148" s="26" t="s">
        <v>187</v>
      </c>
      <c r="Q148" s="13">
        <v>0.14553014305955425</v>
      </c>
    </row>
    <row r="149">
      <c r="A149" s="26" t="s">
        <v>54</v>
      </c>
      <c r="B149" s="13">
        <f>VLOOKUP($A149,'k=2'!$A$2:$E$154,5,0)</f>
        <v>0.0148976378</v>
      </c>
      <c r="C149" s="13">
        <f>VLOOKUP($A149,'k=3'!$A$2:$E$154,5,0)</f>
        <v>0.02048818898</v>
      </c>
      <c r="D149" s="13">
        <f>VLOOKUP($A149,'k=4'!$A$2:$E$154,5,0)</f>
        <v>0.02697637795</v>
      </c>
      <c r="E149" s="13">
        <f>VLOOKUP($A149,'k=5'!$A$2:$E$154,5,0)</f>
        <v>0.03598425197</v>
      </c>
      <c r="F149" s="13">
        <f>VLOOKUP($A149,'k=6'!$A$2:$E$154,5,0)</f>
        <v>0.03590551181</v>
      </c>
      <c r="H149" s="9">
        <f>VLOOKUP($A149,'k=2'!$A$2:$E$154,4,0)</f>
        <v>315</v>
      </c>
      <c r="I149" s="9">
        <f>VLOOKUP($A149,'k=3'!$A$2:$E$154,4,0)</f>
        <v>155</v>
      </c>
      <c r="J149" s="9">
        <f>VLOOKUP($A149,'k=4'!$A$2:$E$154,4,0)</f>
        <v>77</v>
      </c>
      <c r="K149" s="9">
        <f>VLOOKUP($A149,'k=5'!$A$2:$E$154,4,0)</f>
        <v>37</v>
      </c>
      <c r="L149" s="9">
        <f>VLOOKUP($A149,'k=6'!$A$2:$E$154,4,0)</f>
        <v>20</v>
      </c>
      <c r="N149" s="13">
        <f t="shared" si="1"/>
        <v>0.01985949314</v>
      </c>
      <c r="P149" s="26" t="s">
        <v>182</v>
      </c>
      <c r="Q149" s="13">
        <v>0.17035726825842698</v>
      </c>
    </row>
    <row r="150">
      <c r="A150" s="26" t="s">
        <v>58</v>
      </c>
      <c r="B150" s="13">
        <f>VLOOKUP($A150,'k=2'!$A$2:$E$154,5,0)</f>
        <v>0.01608247423</v>
      </c>
      <c r="C150" s="13">
        <f>VLOOKUP($A150,'k=3'!$A$2:$E$154,5,0)</f>
        <v>0.06690721649</v>
      </c>
      <c r="D150" s="13">
        <f>VLOOKUP($A150,'k=4'!$A$2:$E$154,5,0)</f>
        <v>0.1040206186</v>
      </c>
      <c r="E150" s="13">
        <f>VLOOKUP($A150,'k=5'!$A$2:$E$154,5,0)</f>
        <v>0.3878969072</v>
      </c>
      <c r="F150" s="13">
        <f>VLOOKUP($A150,'k=6'!$A$2:$E$154,5,0)</f>
        <v>0.7617319588</v>
      </c>
      <c r="H150" s="9">
        <f>VLOOKUP($A150,'k=2'!$A$2:$E$154,4,0)</f>
        <v>205</v>
      </c>
      <c r="I150" s="9">
        <f>VLOOKUP($A150,'k=3'!$A$2:$E$154,4,0)</f>
        <v>81</v>
      </c>
      <c r="J150" s="9">
        <f>VLOOKUP($A150,'k=4'!$A$2:$E$154,4,0)</f>
        <v>33</v>
      </c>
      <c r="K150" s="9">
        <f>VLOOKUP($A150,'k=5'!$A$2:$E$154,4,0)</f>
        <v>9</v>
      </c>
      <c r="L150" s="9">
        <f>VLOOKUP($A150,'k=6'!$A$2:$E$154,4,0)</f>
        <v>1</v>
      </c>
      <c r="N150" s="13">
        <f t="shared" si="1"/>
        <v>0.04985372732</v>
      </c>
      <c r="P150" s="26" t="s">
        <v>185</v>
      </c>
      <c r="Q150" s="13">
        <v>0.17555516782984357</v>
      </c>
    </row>
    <row r="151">
      <c r="A151" s="26" t="s">
        <v>111</v>
      </c>
      <c r="B151" s="13">
        <f>VLOOKUP($A151,'k=2'!$A$2:$E$154,5,0)</f>
        <v>0.03690526316</v>
      </c>
      <c r="C151" s="13">
        <f>VLOOKUP($A151,'k=3'!$A$2:$E$154,5,0)</f>
        <v>0.1668421053</v>
      </c>
      <c r="D151" s="13">
        <f>VLOOKUP($A151,'k=4'!$A$2:$E$154,5,0)</f>
        <v>0.2764421053</v>
      </c>
      <c r="E151" s="13">
        <f>VLOOKUP($A151,'k=5'!$A$2:$E$154,5,0)</f>
        <v>0.2518526316</v>
      </c>
      <c r="F151" s="13">
        <f>VLOOKUP($A151,'k=6'!$A$2:$E$154,5,0)</f>
        <v>0.2000210526</v>
      </c>
      <c r="H151" s="9">
        <f>VLOOKUP($A151,'k=2'!$A$2:$E$154,4,0)</f>
        <v>201</v>
      </c>
      <c r="I151" s="9">
        <f>VLOOKUP($A151,'k=3'!$A$2:$E$154,4,0)</f>
        <v>69</v>
      </c>
      <c r="J151" s="9">
        <f>VLOOKUP($A151,'k=4'!$A$2:$E$154,4,0)</f>
        <v>23</v>
      </c>
      <c r="K151" s="9">
        <f>VLOOKUP($A151,'k=5'!$A$2:$E$154,4,0)</f>
        <v>10</v>
      </c>
      <c r="L151" s="9">
        <f>VLOOKUP($A151,'k=6'!$A$2:$E$154,4,0)</f>
        <v>5</v>
      </c>
      <c r="N151" s="13">
        <f t="shared" si="1"/>
        <v>0.09352877649</v>
      </c>
      <c r="P151" s="26" t="s">
        <v>190</v>
      </c>
      <c r="Q151" s="13">
        <v>0.18037837837837775</v>
      </c>
    </row>
    <row r="152">
      <c r="A152" s="26" t="s">
        <v>62</v>
      </c>
      <c r="B152" s="13">
        <f>VLOOKUP($A152,'k=2'!$A$2:$E$154,5,0)</f>
        <v>0.01640677966</v>
      </c>
      <c r="C152" s="13">
        <f>VLOOKUP($A152,'k=3'!$A$2:$E$154,5,0)</f>
        <v>0.01184745763</v>
      </c>
      <c r="D152" s="13">
        <f>VLOOKUP($A152,'k=4'!$A$2:$E$154,5,0)</f>
        <v>0.03754237288</v>
      </c>
      <c r="E152" s="13">
        <f>VLOOKUP($A152,'k=5'!$A$2:$E$154,5,0)</f>
        <v>0.06422033898</v>
      </c>
      <c r="F152" s="13">
        <f>VLOOKUP($A152,'k=6'!$A$2:$E$154,5,0)</f>
        <v>0.1167457627</v>
      </c>
      <c r="H152" s="9">
        <f>VLOOKUP($A152,'k=2'!$A$2:$E$154,4,0)</f>
        <v>310</v>
      </c>
      <c r="I152" s="9">
        <f>VLOOKUP($A152,'k=3'!$A$2:$E$154,4,0)</f>
        <v>145</v>
      </c>
      <c r="J152" s="9">
        <f>VLOOKUP($A152,'k=4'!$A$2:$E$154,4,0)</f>
        <v>64</v>
      </c>
      <c r="K152" s="9">
        <f>VLOOKUP($A152,'k=5'!$A$2:$E$154,4,0)</f>
        <v>28</v>
      </c>
      <c r="L152" s="9">
        <f>VLOOKUP($A152,'k=6'!$A$2:$E$154,4,0)</f>
        <v>12</v>
      </c>
      <c r="N152" s="13">
        <f t="shared" si="1"/>
        <v>0.02219286862</v>
      </c>
      <c r="P152" s="26" t="s">
        <v>183</v>
      </c>
      <c r="Q152" s="13">
        <v>0.18742136248948676</v>
      </c>
    </row>
    <row r="153">
      <c r="A153" s="26" t="s">
        <v>189</v>
      </c>
      <c r="B153" s="13">
        <f>VLOOKUP($A153,'k=2'!$A$2:$E$154,5,0)</f>
        <v>0.1390882353</v>
      </c>
      <c r="C153" s="13">
        <f>VLOOKUP($A153,'k=3'!$A$2:$E$154,5,0)</f>
        <v>0.2732058824</v>
      </c>
      <c r="D153" s="13">
        <f>VLOOKUP($A153,'k=4'!$A$2:$E$154,5,0)</f>
        <v>0.665</v>
      </c>
      <c r="E153" s="13">
        <f>VLOOKUP($A153,'k=5'!$A$2:$E$154,5,0)</f>
        <v>0.8537352941</v>
      </c>
      <c r="F153" s="13">
        <f>VLOOKUP($A153,'k=6'!$A$2:$E$154,5,0)</f>
        <v>1</v>
      </c>
      <c r="H153" s="9">
        <f>VLOOKUP($A153,'k=2'!$A$2:$E$154,4,0)</f>
        <v>118</v>
      </c>
      <c r="I153" s="9">
        <f>VLOOKUP($A153,'k=3'!$A$2:$E$154,4,0)</f>
        <v>40</v>
      </c>
      <c r="J153" s="9">
        <f>VLOOKUP($A153,'k=4'!$A$2:$E$154,4,0)</f>
        <v>8</v>
      </c>
      <c r="K153" s="9">
        <f>VLOOKUP($A153,'k=5'!$A$2:$E$154,4,0)</f>
        <v>1</v>
      </c>
      <c r="L153" s="9">
        <f>VLOOKUP($A153,'k=6'!$A$2:$E$154,4,0)</f>
        <v>0</v>
      </c>
      <c r="N153" s="13">
        <f t="shared" si="1"/>
        <v>0.2006849243</v>
      </c>
      <c r="P153" s="26" t="s">
        <v>188</v>
      </c>
      <c r="Q153" s="13">
        <v>0.19816969310820784</v>
      </c>
    </row>
    <row r="154">
      <c r="A154" s="26" t="s">
        <v>184</v>
      </c>
      <c r="B154" s="13">
        <f>VLOOKUP($A154,'k=2'!$A$2:$E$154,5,0)</f>
        <v>0.09678125</v>
      </c>
      <c r="C154" s="13">
        <f>VLOOKUP($A154,'k=3'!$A$2:$E$154,5,0)</f>
        <v>0.1163125</v>
      </c>
      <c r="D154" s="13">
        <f>VLOOKUP($A154,'k=4'!$A$2:$E$154,5,0)</f>
        <v>0.08190625</v>
      </c>
      <c r="E154" s="13">
        <f>VLOOKUP($A154,'k=5'!$A$2:$E$154,5,0)</f>
        <v>0.13871875</v>
      </c>
      <c r="F154" s="13">
        <f>VLOOKUP($A154,'k=6'!$A$2:$E$154,5,0)</f>
        <v>0.30484375</v>
      </c>
      <c r="H154" s="9">
        <f>VLOOKUP($A154,'k=2'!$A$2:$E$154,4,0)</f>
        <v>135</v>
      </c>
      <c r="I154" s="9">
        <f>VLOOKUP($A154,'k=3'!$A$2:$E$154,4,0)</f>
        <v>55</v>
      </c>
      <c r="J154" s="9">
        <f>VLOOKUP($A154,'k=4'!$A$2:$E$154,4,0)</f>
        <v>25</v>
      </c>
      <c r="K154" s="9">
        <f>VLOOKUP($A154,'k=5'!$A$2:$E$154,4,0)</f>
        <v>10</v>
      </c>
      <c r="L154" s="9">
        <f>VLOOKUP($A154,'k=6'!$A$2:$E$154,4,0)</f>
        <v>3</v>
      </c>
      <c r="N154" s="13">
        <f t="shared" si="1"/>
        <v>0.1044387336</v>
      </c>
      <c r="P154" s="26" t="s">
        <v>189</v>
      </c>
      <c r="Q154" s="13">
        <v>0.20068492426910836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6" max="7" width="30.75"/>
    <col customWidth="1" min="11" max="11" width="17.38"/>
    <col customWidth="1" min="14" max="14" width="17.63"/>
  </cols>
  <sheetData>
    <row r="1">
      <c r="A1" s="27" t="s">
        <v>0</v>
      </c>
      <c r="B1" s="1" t="s">
        <v>203</v>
      </c>
      <c r="C1" s="1" t="s">
        <v>204</v>
      </c>
      <c r="D1" s="1" t="s">
        <v>205</v>
      </c>
      <c r="F1" s="27"/>
      <c r="G1" s="27" t="s">
        <v>0</v>
      </c>
      <c r="H1" s="1" t="s">
        <v>206</v>
      </c>
      <c r="I1" s="1" t="s">
        <v>205</v>
      </c>
      <c r="K1" s="17" t="s">
        <v>0</v>
      </c>
      <c r="L1" s="17" t="s">
        <v>207</v>
      </c>
      <c r="M1" s="17" t="s">
        <v>208</v>
      </c>
      <c r="N1" s="17" t="s">
        <v>0</v>
      </c>
      <c r="O1" s="17" t="s">
        <v>208</v>
      </c>
      <c r="P1" s="17" t="s">
        <v>207</v>
      </c>
    </row>
    <row r="2">
      <c r="A2" s="27" t="s">
        <v>14</v>
      </c>
      <c r="B2" s="13">
        <v>0.004338610115491827</v>
      </c>
      <c r="C2" s="1">
        <v>1.0</v>
      </c>
      <c r="D2" s="9">
        <f t="shared" ref="D2:D154" si="1">VLOOKUP(A2,G$2:I$154,3,0)</f>
        <v>3</v>
      </c>
      <c r="E2" s="9">
        <f t="shared" ref="E2:E154" si="2">C2-D2</f>
        <v>-2</v>
      </c>
      <c r="F2" s="26">
        <f t="array" ref="F2">let(
  array1, C2:C10,
  array2, D2:D10,
  conc_pairs, sum(countifs(array2, "&gt;"&amp;array1, row(array2), "&gt;"&amp;row(array1))),
  disc_pairs, sum(countifs(array2, "&lt;="&amp;array1, row(array2), "&gt;"&amp;row(array1))),
  (conc_pairs - disc_pairs) / (conc_pairs + disc_pairs)
)</f>
        <v>0.7777777778</v>
      </c>
      <c r="G2" s="26" t="s">
        <v>93</v>
      </c>
      <c r="H2" s="13">
        <v>0.055864365927700645</v>
      </c>
      <c r="I2" s="1">
        <v>1.0</v>
      </c>
      <c r="K2" s="33" t="s">
        <v>93</v>
      </c>
      <c r="L2" s="28">
        <v>1.0</v>
      </c>
      <c r="M2" s="19">
        <f t="shared" ref="M2:M11" si="3">vlookup(K2,A$2:C$154,3,false)</f>
        <v>19</v>
      </c>
      <c r="N2" s="33" t="s">
        <v>14</v>
      </c>
      <c r="O2" s="28">
        <v>1.0</v>
      </c>
      <c r="P2" s="19">
        <f t="shared" ref="P2:P11" si="4">VLOOKUP(N2,G$2:I$154,3,0)</f>
        <v>3</v>
      </c>
    </row>
    <row r="3">
      <c r="A3" s="26" t="s">
        <v>50</v>
      </c>
      <c r="B3" s="13">
        <v>0.008154462582149666</v>
      </c>
      <c r="C3" s="1">
        <v>2.0</v>
      </c>
      <c r="D3" s="9">
        <f t="shared" si="1"/>
        <v>2</v>
      </c>
      <c r="E3" s="9">
        <f t="shared" si="2"/>
        <v>0</v>
      </c>
      <c r="F3" s="26">
        <f>correl(C2:C154,D2:D154)</f>
        <v>0.8156655007</v>
      </c>
      <c r="G3" s="26" t="s">
        <v>50</v>
      </c>
      <c r="H3" s="13">
        <v>0.03963974657925136</v>
      </c>
      <c r="I3" s="1">
        <v>2.0</v>
      </c>
      <c r="K3" s="34" t="s">
        <v>50</v>
      </c>
      <c r="L3" s="28">
        <v>2.0</v>
      </c>
      <c r="M3" s="19">
        <f t="shared" si="3"/>
        <v>2</v>
      </c>
      <c r="N3" s="34" t="s">
        <v>50</v>
      </c>
      <c r="O3" s="28">
        <v>2.0</v>
      </c>
      <c r="P3" s="19">
        <f t="shared" si="4"/>
        <v>2</v>
      </c>
    </row>
    <row r="4">
      <c r="A4" s="26" t="s">
        <v>16</v>
      </c>
      <c r="B4" s="13">
        <v>0.008609629054073484</v>
      </c>
      <c r="C4" s="1">
        <v>3.0</v>
      </c>
      <c r="D4" s="9">
        <f t="shared" si="1"/>
        <v>59</v>
      </c>
      <c r="E4" s="9">
        <f t="shared" si="2"/>
        <v>-56</v>
      </c>
      <c r="F4" s="26"/>
      <c r="G4" s="26" t="s">
        <v>14</v>
      </c>
      <c r="H4" s="13">
        <v>0.03435757523044011</v>
      </c>
      <c r="I4" s="1">
        <v>3.0</v>
      </c>
      <c r="K4" s="34" t="s">
        <v>14</v>
      </c>
      <c r="L4" s="28">
        <v>3.0</v>
      </c>
      <c r="M4" s="19">
        <f t="shared" si="3"/>
        <v>1</v>
      </c>
      <c r="N4" s="34" t="s">
        <v>16</v>
      </c>
      <c r="O4" s="28">
        <v>3.0</v>
      </c>
      <c r="P4" s="19">
        <f t="shared" si="4"/>
        <v>59</v>
      </c>
    </row>
    <row r="5">
      <c r="A5" s="26" t="s">
        <v>22</v>
      </c>
      <c r="B5" s="13">
        <v>0.009957426679280979</v>
      </c>
      <c r="C5" s="1">
        <v>4.0</v>
      </c>
      <c r="D5" s="9">
        <f t="shared" si="1"/>
        <v>7</v>
      </c>
      <c r="E5" s="9">
        <f t="shared" si="2"/>
        <v>-3</v>
      </c>
      <c r="F5" s="26"/>
      <c r="G5" s="26" t="s">
        <v>42</v>
      </c>
      <c r="H5" s="13">
        <v>0.025767561659866687</v>
      </c>
      <c r="I5" s="1">
        <v>4.0</v>
      </c>
      <c r="K5" s="34" t="s">
        <v>42</v>
      </c>
      <c r="L5" s="28">
        <v>4.0</v>
      </c>
      <c r="M5" s="19">
        <f t="shared" si="3"/>
        <v>10</v>
      </c>
      <c r="N5" s="34" t="s">
        <v>22</v>
      </c>
      <c r="O5" s="28">
        <v>4.0</v>
      </c>
      <c r="P5" s="19">
        <f t="shared" si="4"/>
        <v>7</v>
      </c>
    </row>
    <row r="6">
      <c r="A6" s="27" t="s">
        <v>18</v>
      </c>
      <c r="B6" s="13">
        <v>0.0105181136918809</v>
      </c>
      <c r="C6" s="1">
        <v>5.0</v>
      </c>
      <c r="D6" s="9">
        <f t="shared" si="1"/>
        <v>38</v>
      </c>
      <c r="E6" s="9">
        <f t="shared" si="2"/>
        <v>-33</v>
      </c>
      <c r="F6" s="26"/>
      <c r="G6" s="26" t="s">
        <v>38</v>
      </c>
      <c r="H6" s="13">
        <v>0.023481118711790473</v>
      </c>
      <c r="I6" s="1">
        <v>5.0</v>
      </c>
      <c r="K6" s="34" t="s">
        <v>38</v>
      </c>
      <c r="L6" s="28">
        <v>5.0</v>
      </c>
      <c r="M6" s="19">
        <f t="shared" si="3"/>
        <v>9</v>
      </c>
      <c r="N6" s="34" t="s">
        <v>18</v>
      </c>
      <c r="O6" s="28">
        <v>5.0</v>
      </c>
      <c r="P6" s="19">
        <f t="shared" si="4"/>
        <v>38</v>
      </c>
    </row>
    <row r="7">
      <c r="A7" s="26" t="s">
        <v>26</v>
      </c>
      <c r="B7" s="13">
        <v>0.01075247930497497</v>
      </c>
      <c r="C7" s="1">
        <v>6.0</v>
      </c>
      <c r="D7" s="9">
        <f t="shared" si="1"/>
        <v>36</v>
      </c>
      <c r="E7" s="9">
        <f t="shared" si="2"/>
        <v>-30</v>
      </c>
      <c r="F7" s="26"/>
      <c r="G7" s="26" t="s">
        <v>85</v>
      </c>
      <c r="H7" s="13">
        <v>0.02186780126827709</v>
      </c>
      <c r="I7" s="1">
        <v>6.0</v>
      </c>
      <c r="K7" s="34" t="s">
        <v>85</v>
      </c>
      <c r="L7" s="28">
        <v>6.0</v>
      </c>
      <c r="M7" s="19">
        <f t="shared" si="3"/>
        <v>21</v>
      </c>
      <c r="N7" s="34" t="s">
        <v>26</v>
      </c>
      <c r="O7" s="28">
        <v>6.0</v>
      </c>
      <c r="P7" s="19">
        <f t="shared" si="4"/>
        <v>36</v>
      </c>
    </row>
    <row r="8">
      <c r="A8" s="26" t="s">
        <v>24</v>
      </c>
      <c r="B8" s="13">
        <v>0.012351969280631286</v>
      </c>
      <c r="C8" s="1">
        <v>7.0</v>
      </c>
      <c r="D8" s="9">
        <f t="shared" si="1"/>
        <v>15</v>
      </c>
      <c r="E8" s="9">
        <f t="shared" si="2"/>
        <v>-8</v>
      </c>
      <c r="F8" s="26"/>
      <c r="G8" s="26" t="s">
        <v>22</v>
      </c>
      <c r="H8" s="13">
        <v>0.019478469860693248</v>
      </c>
      <c r="I8" s="1">
        <v>7.0</v>
      </c>
      <c r="K8" s="34" t="s">
        <v>22</v>
      </c>
      <c r="L8" s="28">
        <v>7.0</v>
      </c>
      <c r="M8" s="19">
        <f t="shared" si="3"/>
        <v>4</v>
      </c>
      <c r="N8" s="34" t="s">
        <v>24</v>
      </c>
      <c r="O8" s="28">
        <v>7.0</v>
      </c>
      <c r="P8" s="19">
        <f t="shared" si="4"/>
        <v>15</v>
      </c>
    </row>
    <row r="9">
      <c r="A9" s="26" t="s">
        <v>20</v>
      </c>
      <c r="B9" s="13">
        <v>0.014690151304186376</v>
      </c>
      <c r="C9" s="1">
        <v>8.0</v>
      </c>
      <c r="D9" s="9">
        <f t="shared" si="1"/>
        <v>22</v>
      </c>
      <c r="E9" s="9">
        <f t="shared" si="2"/>
        <v>-14</v>
      </c>
      <c r="F9" s="26"/>
      <c r="G9" s="26" t="s">
        <v>72</v>
      </c>
      <c r="H9" s="13">
        <v>0.018508387021273266</v>
      </c>
      <c r="I9" s="1">
        <v>8.0</v>
      </c>
      <c r="K9" s="34" t="s">
        <v>72</v>
      </c>
      <c r="L9" s="28">
        <v>8.0</v>
      </c>
      <c r="M9" s="19">
        <f t="shared" si="3"/>
        <v>20</v>
      </c>
      <c r="N9" s="34" t="s">
        <v>20</v>
      </c>
      <c r="O9" s="28">
        <v>8.0</v>
      </c>
      <c r="P9" s="19">
        <f t="shared" si="4"/>
        <v>22</v>
      </c>
    </row>
    <row r="10">
      <c r="A10" s="27" t="s">
        <v>38</v>
      </c>
      <c r="B10" s="13">
        <v>0.014958361950549422</v>
      </c>
      <c r="C10" s="1">
        <v>9.0</v>
      </c>
      <c r="D10" s="9">
        <f t="shared" si="1"/>
        <v>5</v>
      </c>
      <c r="E10" s="9">
        <f t="shared" si="2"/>
        <v>4</v>
      </c>
      <c r="F10" s="26"/>
      <c r="G10" s="26" t="s">
        <v>83</v>
      </c>
      <c r="H10" s="13">
        <v>0.016299131964853265</v>
      </c>
      <c r="I10" s="1">
        <v>9.0</v>
      </c>
      <c r="K10" s="34" t="s">
        <v>83</v>
      </c>
      <c r="L10" s="28">
        <v>9.0</v>
      </c>
      <c r="M10" s="19">
        <f t="shared" si="3"/>
        <v>53</v>
      </c>
      <c r="N10" s="34" t="s">
        <v>38</v>
      </c>
      <c r="O10" s="28">
        <v>9.0</v>
      </c>
      <c r="P10" s="19">
        <f t="shared" si="4"/>
        <v>5</v>
      </c>
    </row>
    <row r="11">
      <c r="A11" s="26" t="s">
        <v>42</v>
      </c>
      <c r="B11" s="13">
        <v>0.01534138326932969</v>
      </c>
      <c r="C11" s="1">
        <v>10.0</v>
      </c>
      <c r="D11" s="9">
        <f t="shared" si="1"/>
        <v>4</v>
      </c>
      <c r="E11" s="9">
        <f t="shared" si="2"/>
        <v>6</v>
      </c>
      <c r="F11" s="26"/>
      <c r="G11" s="26" t="s">
        <v>30</v>
      </c>
      <c r="H11" s="13">
        <v>0.01603890328801499</v>
      </c>
      <c r="I11" s="1">
        <v>10.0</v>
      </c>
      <c r="K11" s="34" t="s">
        <v>30</v>
      </c>
      <c r="L11" s="28">
        <v>10.0</v>
      </c>
      <c r="M11" s="19">
        <f t="shared" si="3"/>
        <v>16</v>
      </c>
      <c r="N11" s="34" t="s">
        <v>42</v>
      </c>
      <c r="O11" s="28">
        <v>10.0</v>
      </c>
      <c r="P11" s="19">
        <f t="shared" si="4"/>
        <v>4</v>
      </c>
    </row>
    <row r="12">
      <c r="A12" s="26" t="s">
        <v>52</v>
      </c>
      <c r="B12" s="13">
        <v>0.01676683836473883</v>
      </c>
      <c r="C12" s="1">
        <v>11.0</v>
      </c>
      <c r="D12" s="9">
        <f t="shared" si="1"/>
        <v>14</v>
      </c>
      <c r="E12" s="9">
        <f t="shared" si="2"/>
        <v>-3</v>
      </c>
      <c r="F12" s="26"/>
      <c r="G12" s="26" t="s">
        <v>138</v>
      </c>
      <c r="H12" s="13">
        <v>0.01339321433128134</v>
      </c>
      <c r="I12" s="1">
        <v>11.0</v>
      </c>
    </row>
    <row r="13">
      <c r="A13" s="26" t="s">
        <v>65</v>
      </c>
      <c r="B13" s="13">
        <v>0.0176856640601321</v>
      </c>
      <c r="C13" s="1">
        <v>12.0</v>
      </c>
      <c r="D13" s="9">
        <f t="shared" si="1"/>
        <v>52</v>
      </c>
      <c r="E13" s="9">
        <f t="shared" si="2"/>
        <v>-40</v>
      </c>
      <c r="F13" s="26"/>
      <c r="G13" s="26" t="s">
        <v>67</v>
      </c>
      <c r="H13" s="13">
        <v>0.01164202122798304</v>
      </c>
      <c r="I13" s="1">
        <v>12.0</v>
      </c>
    </row>
    <row r="14">
      <c r="A14" s="26" t="s">
        <v>76</v>
      </c>
      <c r="B14" s="13">
        <v>0.018545184068549627</v>
      </c>
      <c r="C14" s="1">
        <v>13.0</v>
      </c>
      <c r="D14" s="9">
        <f t="shared" si="1"/>
        <v>35</v>
      </c>
      <c r="E14" s="9">
        <f t="shared" si="2"/>
        <v>-22</v>
      </c>
      <c r="F14" s="26"/>
      <c r="G14" s="26" t="s">
        <v>44</v>
      </c>
      <c r="H14" s="13">
        <v>0.011619688954710343</v>
      </c>
      <c r="I14" s="1">
        <v>13.0</v>
      </c>
    </row>
    <row r="15">
      <c r="A15" s="26" t="s">
        <v>32</v>
      </c>
      <c r="B15" s="13">
        <v>0.019388283208020027</v>
      </c>
      <c r="C15" s="1">
        <v>14.0</v>
      </c>
      <c r="D15" s="9">
        <f t="shared" si="1"/>
        <v>30</v>
      </c>
      <c r="E15" s="9">
        <f t="shared" si="2"/>
        <v>-16</v>
      </c>
      <c r="F15" s="26"/>
      <c r="G15" s="26" t="s">
        <v>52</v>
      </c>
      <c r="H15" s="13">
        <v>0.011189641895968048</v>
      </c>
      <c r="I15" s="1">
        <v>14.0</v>
      </c>
    </row>
    <row r="16">
      <c r="A16" s="26" t="s">
        <v>54</v>
      </c>
      <c r="B16" s="13">
        <v>0.01985949314282728</v>
      </c>
      <c r="C16" s="1">
        <v>15.0</v>
      </c>
      <c r="D16" s="9">
        <f t="shared" si="1"/>
        <v>17</v>
      </c>
      <c r="E16" s="9">
        <f t="shared" si="2"/>
        <v>-2</v>
      </c>
      <c r="F16" s="26"/>
      <c r="G16" s="26" t="s">
        <v>24</v>
      </c>
      <c r="H16" s="13">
        <v>0.01010054101569699</v>
      </c>
      <c r="I16" s="1">
        <v>15.0</v>
      </c>
    </row>
    <row r="17">
      <c r="A17" s="26" t="s">
        <v>30</v>
      </c>
      <c r="B17" s="13">
        <v>0.021740472972972977</v>
      </c>
      <c r="C17" s="1">
        <v>16.0</v>
      </c>
      <c r="D17" s="9">
        <f t="shared" si="1"/>
        <v>10</v>
      </c>
      <c r="E17" s="9">
        <f t="shared" si="2"/>
        <v>6</v>
      </c>
      <c r="F17" s="26"/>
      <c r="G17" s="26" t="s">
        <v>81</v>
      </c>
      <c r="H17" s="13">
        <v>0.009764441823909785</v>
      </c>
      <c r="I17" s="1">
        <v>16.0</v>
      </c>
    </row>
    <row r="18">
      <c r="A18" s="26" t="s">
        <v>66</v>
      </c>
      <c r="B18" s="13">
        <v>0.021817092860883177</v>
      </c>
      <c r="C18" s="1">
        <v>17.0</v>
      </c>
      <c r="D18" s="9">
        <f t="shared" si="1"/>
        <v>19</v>
      </c>
      <c r="E18" s="9">
        <f t="shared" si="2"/>
        <v>-2</v>
      </c>
      <c r="F18" s="26"/>
      <c r="G18" s="26" t="s">
        <v>54</v>
      </c>
      <c r="H18" s="13">
        <v>0.009467917369102376</v>
      </c>
      <c r="I18" s="1">
        <v>17.0</v>
      </c>
    </row>
    <row r="19">
      <c r="A19" s="26" t="s">
        <v>62</v>
      </c>
      <c r="B19" s="13">
        <v>0.02219286862132738</v>
      </c>
      <c r="C19" s="1">
        <v>18.0</v>
      </c>
      <c r="D19" s="9">
        <f t="shared" si="1"/>
        <v>24</v>
      </c>
      <c r="E19" s="9">
        <f t="shared" si="2"/>
        <v>-6</v>
      </c>
      <c r="F19" s="26"/>
      <c r="G19" s="26" t="s">
        <v>84</v>
      </c>
      <c r="H19" s="13">
        <v>0.008934770349430745</v>
      </c>
      <c r="I19" s="1">
        <v>18.0</v>
      </c>
    </row>
    <row r="20">
      <c r="A20" s="27" t="s">
        <v>93</v>
      </c>
      <c r="B20" s="13">
        <v>0.022456660436940078</v>
      </c>
      <c r="C20" s="1">
        <v>19.0</v>
      </c>
      <c r="D20" s="9">
        <f t="shared" si="1"/>
        <v>1</v>
      </c>
      <c r="E20" s="9">
        <f t="shared" si="2"/>
        <v>18</v>
      </c>
      <c r="F20" s="26"/>
      <c r="G20" s="26" t="s">
        <v>66</v>
      </c>
      <c r="H20" s="13">
        <v>0.008543679339602032</v>
      </c>
      <c r="I20" s="1">
        <v>19.0</v>
      </c>
    </row>
    <row r="21">
      <c r="A21" s="27" t="s">
        <v>72</v>
      </c>
      <c r="B21" s="13">
        <v>0.02346784311240647</v>
      </c>
      <c r="C21" s="1">
        <v>20.0</v>
      </c>
      <c r="D21" s="9">
        <f t="shared" si="1"/>
        <v>8</v>
      </c>
      <c r="E21" s="9">
        <f t="shared" si="2"/>
        <v>12</v>
      </c>
      <c r="F21" s="26"/>
      <c r="G21" s="26" t="s">
        <v>36</v>
      </c>
      <c r="H21" s="13">
        <v>0.008387765532239633</v>
      </c>
      <c r="I21" s="1">
        <v>20.0</v>
      </c>
    </row>
    <row r="22">
      <c r="A22" s="26" t="s">
        <v>85</v>
      </c>
      <c r="B22" s="13">
        <v>0.02353203194598561</v>
      </c>
      <c r="C22" s="1">
        <v>21.0</v>
      </c>
      <c r="D22" s="9">
        <f t="shared" si="1"/>
        <v>6</v>
      </c>
      <c r="E22" s="9">
        <f t="shared" si="2"/>
        <v>15</v>
      </c>
      <c r="F22" s="26"/>
      <c r="G22" s="26" t="s">
        <v>77</v>
      </c>
      <c r="H22" s="13">
        <v>0.00792982059335936</v>
      </c>
      <c r="I22" s="1">
        <v>21.0</v>
      </c>
    </row>
    <row r="23">
      <c r="A23" s="26" t="s">
        <v>46</v>
      </c>
      <c r="B23" s="13">
        <v>0.026001842863019275</v>
      </c>
      <c r="C23" s="1">
        <v>22.0</v>
      </c>
      <c r="D23" s="9">
        <f t="shared" si="1"/>
        <v>37</v>
      </c>
      <c r="E23" s="9">
        <f t="shared" si="2"/>
        <v>-15</v>
      </c>
      <c r="F23" s="26"/>
      <c r="G23" s="26" t="s">
        <v>20</v>
      </c>
      <c r="H23" s="13">
        <v>0.006994948458367659</v>
      </c>
      <c r="I23" s="1">
        <v>22.0</v>
      </c>
    </row>
    <row r="24">
      <c r="A24" s="26" t="s">
        <v>34</v>
      </c>
      <c r="B24" s="13">
        <v>0.027304813295920546</v>
      </c>
      <c r="C24" s="1">
        <v>23.0</v>
      </c>
      <c r="D24" s="9">
        <f t="shared" si="1"/>
        <v>80</v>
      </c>
      <c r="E24" s="9">
        <f t="shared" si="2"/>
        <v>-57</v>
      </c>
      <c r="F24" s="26"/>
      <c r="G24" s="26" t="s">
        <v>48</v>
      </c>
      <c r="H24" s="13">
        <v>0.006611250576679763</v>
      </c>
      <c r="I24" s="1">
        <v>23.0</v>
      </c>
    </row>
    <row r="25">
      <c r="A25" s="26" t="s">
        <v>141</v>
      </c>
      <c r="B25" s="13">
        <v>0.027359135182998786</v>
      </c>
      <c r="C25" s="1">
        <v>24.0</v>
      </c>
      <c r="D25" s="9">
        <f t="shared" si="1"/>
        <v>26</v>
      </c>
      <c r="E25" s="9">
        <f t="shared" si="2"/>
        <v>-2</v>
      </c>
      <c r="F25" s="26"/>
      <c r="G25" s="26" t="s">
        <v>62</v>
      </c>
      <c r="H25" s="13">
        <v>0.006051196168518649</v>
      </c>
      <c r="I25" s="1">
        <v>24.0</v>
      </c>
    </row>
    <row r="26">
      <c r="A26" s="26" t="s">
        <v>67</v>
      </c>
      <c r="B26" s="13">
        <v>0.028601756568283697</v>
      </c>
      <c r="C26" s="1">
        <v>25.0</v>
      </c>
      <c r="D26" s="9">
        <f t="shared" si="1"/>
        <v>12</v>
      </c>
      <c r="E26" s="9">
        <f t="shared" si="2"/>
        <v>13</v>
      </c>
      <c r="F26" s="26"/>
      <c r="G26" s="26" t="s">
        <v>159</v>
      </c>
      <c r="H26" s="13">
        <v>0.005919237754105882</v>
      </c>
      <c r="I26" s="1">
        <v>25.0</v>
      </c>
    </row>
    <row r="27">
      <c r="A27" s="26" t="s">
        <v>40</v>
      </c>
      <c r="B27" s="13">
        <v>0.028723236741388637</v>
      </c>
      <c r="C27" s="1">
        <v>26.0</v>
      </c>
      <c r="D27" s="9">
        <f t="shared" si="1"/>
        <v>49</v>
      </c>
      <c r="E27" s="9">
        <f t="shared" si="2"/>
        <v>-23</v>
      </c>
      <c r="F27" s="26"/>
      <c r="G27" s="26" t="s">
        <v>141</v>
      </c>
      <c r="H27" s="13">
        <v>0.004889298724303208</v>
      </c>
      <c r="I27" s="1">
        <v>26.0</v>
      </c>
    </row>
    <row r="28">
      <c r="A28" s="26" t="s">
        <v>138</v>
      </c>
      <c r="B28" s="13">
        <v>0.029125461822660098</v>
      </c>
      <c r="C28" s="1">
        <v>27.0</v>
      </c>
      <c r="D28" s="9">
        <f t="shared" si="1"/>
        <v>11</v>
      </c>
      <c r="E28" s="9">
        <f t="shared" si="2"/>
        <v>16</v>
      </c>
      <c r="F28" s="26"/>
      <c r="G28" s="26" t="s">
        <v>160</v>
      </c>
      <c r="H28" s="13">
        <v>0.004669077970083798</v>
      </c>
      <c r="I28" s="1">
        <v>27.0</v>
      </c>
    </row>
    <row r="29">
      <c r="A29" s="26" t="s">
        <v>75</v>
      </c>
      <c r="B29" s="13">
        <v>0.029644108649299998</v>
      </c>
      <c r="C29" s="1">
        <v>28.0</v>
      </c>
      <c r="D29" s="9">
        <f t="shared" si="1"/>
        <v>58</v>
      </c>
      <c r="E29" s="9">
        <f t="shared" si="2"/>
        <v>-30</v>
      </c>
      <c r="F29" s="26"/>
      <c r="G29" s="26" t="s">
        <v>112</v>
      </c>
      <c r="H29" s="13">
        <v>0.003985049946752658</v>
      </c>
      <c r="I29" s="1">
        <v>28.0</v>
      </c>
    </row>
    <row r="30">
      <c r="A30" s="26" t="s">
        <v>63</v>
      </c>
      <c r="B30" s="13">
        <v>0.029865725660513896</v>
      </c>
      <c r="C30" s="1">
        <v>29.0</v>
      </c>
      <c r="D30" s="9">
        <f t="shared" si="1"/>
        <v>73</v>
      </c>
      <c r="E30" s="9">
        <f t="shared" si="2"/>
        <v>-44</v>
      </c>
      <c r="F30" s="26"/>
      <c r="G30" s="26" t="s">
        <v>56</v>
      </c>
      <c r="H30" s="13">
        <v>0.003450617049663549</v>
      </c>
      <c r="I30" s="1">
        <v>29.0</v>
      </c>
    </row>
    <row r="31">
      <c r="A31" s="26" t="s">
        <v>84</v>
      </c>
      <c r="B31" s="13">
        <v>0.03089581517000867</v>
      </c>
      <c r="C31" s="1">
        <v>30.0</v>
      </c>
      <c r="D31" s="9">
        <f t="shared" si="1"/>
        <v>18</v>
      </c>
      <c r="E31" s="9">
        <f t="shared" si="2"/>
        <v>12</v>
      </c>
      <c r="F31" s="26"/>
      <c r="G31" s="26" t="s">
        <v>32</v>
      </c>
      <c r="H31" s="13">
        <v>0.0027351955696096985</v>
      </c>
      <c r="I31" s="1">
        <v>30.0</v>
      </c>
    </row>
    <row r="32">
      <c r="A32" s="26" t="s">
        <v>81</v>
      </c>
      <c r="B32" s="13">
        <v>0.031741199572612504</v>
      </c>
      <c r="C32" s="1">
        <v>31.0</v>
      </c>
      <c r="D32" s="9">
        <f t="shared" si="1"/>
        <v>16</v>
      </c>
      <c r="E32" s="9">
        <f t="shared" si="2"/>
        <v>15</v>
      </c>
      <c r="F32" s="26"/>
      <c r="G32" s="26" t="s">
        <v>71</v>
      </c>
      <c r="H32" s="13">
        <v>0.002137198618415907</v>
      </c>
      <c r="I32" s="1">
        <v>31.0</v>
      </c>
    </row>
    <row r="33">
      <c r="A33" s="26" t="s">
        <v>101</v>
      </c>
      <c r="B33" s="13">
        <v>0.03207450055493887</v>
      </c>
      <c r="C33" s="1">
        <v>32.0</v>
      </c>
      <c r="D33" s="9">
        <f t="shared" si="1"/>
        <v>53</v>
      </c>
      <c r="E33" s="9">
        <f t="shared" si="2"/>
        <v>-21</v>
      </c>
      <c r="F33" s="26"/>
      <c r="G33" s="26" t="s">
        <v>157</v>
      </c>
      <c r="H33" s="13">
        <v>0.0019592810094497797</v>
      </c>
      <c r="I33" s="1">
        <v>32.0</v>
      </c>
    </row>
    <row r="34">
      <c r="A34" s="26" t="s">
        <v>56</v>
      </c>
      <c r="B34" s="13">
        <v>0.03256779279279275</v>
      </c>
      <c r="C34" s="1">
        <v>33.0</v>
      </c>
      <c r="D34" s="9">
        <f t="shared" si="1"/>
        <v>29</v>
      </c>
      <c r="E34" s="9">
        <f t="shared" si="2"/>
        <v>4</v>
      </c>
      <c r="F34" s="26"/>
      <c r="G34" s="26" t="s">
        <v>109</v>
      </c>
      <c r="H34" s="13">
        <v>0.0019175251500428846</v>
      </c>
      <c r="I34" s="1">
        <v>33.0</v>
      </c>
    </row>
    <row r="35">
      <c r="A35" s="26" t="s">
        <v>28</v>
      </c>
      <c r="B35" s="13">
        <v>0.03277315573770492</v>
      </c>
      <c r="C35" s="1">
        <v>34.0</v>
      </c>
      <c r="D35" s="9">
        <f t="shared" si="1"/>
        <v>48</v>
      </c>
      <c r="E35" s="9">
        <f t="shared" si="2"/>
        <v>-14</v>
      </c>
      <c r="F35" s="26"/>
      <c r="G35" s="26" t="s">
        <v>97</v>
      </c>
      <c r="H35" s="13">
        <v>0.0013530132761107945</v>
      </c>
      <c r="I35" s="1">
        <v>34.0</v>
      </c>
    </row>
    <row r="36">
      <c r="A36" s="26" t="s">
        <v>107</v>
      </c>
      <c r="B36" s="13">
        <v>0.03342541507024261</v>
      </c>
      <c r="C36" s="1">
        <v>35.0</v>
      </c>
      <c r="D36" s="9">
        <f t="shared" si="1"/>
        <v>43</v>
      </c>
      <c r="E36" s="9">
        <f t="shared" si="2"/>
        <v>-8</v>
      </c>
      <c r="F36" s="26"/>
      <c r="G36" s="26" t="s">
        <v>76</v>
      </c>
      <c r="H36" s="13">
        <v>0.0013070519526661422</v>
      </c>
      <c r="I36" s="1">
        <v>35.0</v>
      </c>
    </row>
    <row r="37">
      <c r="A37" s="26" t="s">
        <v>112</v>
      </c>
      <c r="B37" s="13">
        <v>0.033843294579990114</v>
      </c>
      <c r="C37" s="1">
        <v>36.0</v>
      </c>
      <c r="D37" s="9">
        <f t="shared" si="1"/>
        <v>28</v>
      </c>
      <c r="E37" s="9">
        <f t="shared" si="2"/>
        <v>8</v>
      </c>
      <c r="F37" s="26"/>
      <c r="G37" s="26" t="s">
        <v>26</v>
      </c>
      <c r="H37" s="13">
        <v>0.0012165188288164768</v>
      </c>
      <c r="I37" s="1">
        <v>36.0</v>
      </c>
    </row>
    <row r="38">
      <c r="A38" s="26" t="s">
        <v>36</v>
      </c>
      <c r="B38" s="13">
        <v>0.03390134790528227</v>
      </c>
      <c r="C38" s="1">
        <v>37.0</v>
      </c>
      <c r="D38" s="9">
        <f t="shared" si="1"/>
        <v>20</v>
      </c>
      <c r="E38" s="9">
        <f t="shared" si="2"/>
        <v>17</v>
      </c>
      <c r="F38" s="26"/>
      <c r="G38" s="26" t="s">
        <v>46</v>
      </c>
      <c r="H38" s="13">
        <v>9.805968840819893E-4</v>
      </c>
      <c r="I38" s="1">
        <v>37.0</v>
      </c>
    </row>
    <row r="39">
      <c r="A39" s="26" t="s">
        <v>96</v>
      </c>
      <c r="B39" s="13">
        <v>0.035379888969830894</v>
      </c>
      <c r="C39" s="1">
        <v>38.0</v>
      </c>
      <c r="D39" s="9">
        <f t="shared" si="1"/>
        <v>47</v>
      </c>
      <c r="E39" s="9">
        <f t="shared" si="2"/>
        <v>-9</v>
      </c>
      <c r="F39" s="26"/>
      <c r="G39" s="26" t="s">
        <v>18</v>
      </c>
      <c r="H39" s="13">
        <v>1.0587092555811436E-4</v>
      </c>
      <c r="I39" s="1">
        <v>38.0</v>
      </c>
    </row>
    <row r="40">
      <c r="A40" s="26" t="s">
        <v>74</v>
      </c>
      <c r="B40" s="13">
        <v>0.03698095869647586</v>
      </c>
      <c r="C40" s="1">
        <v>39.0</v>
      </c>
      <c r="D40" s="9">
        <f t="shared" si="1"/>
        <v>140</v>
      </c>
      <c r="E40" s="9">
        <f t="shared" si="2"/>
        <v>-101</v>
      </c>
      <c r="F40" s="26"/>
      <c r="G40" s="26" t="s">
        <v>172</v>
      </c>
      <c r="H40" s="13">
        <v>-0.0014720122769356163</v>
      </c>
      <c r="I40" s="1">
        <v>39.0</v>
      </c>
    </row>
    <row r="41">
      <c r="A41" s="26" t="s">
        <v>82</v>
      </c>
      <c r="B41" s="13">
        <v>0.03705206673387747</v>
      </c>
      <c r="C41" s="1">
        <v>40.0</v>
      </c>
      <c r="D41" s="9">
        <f t="shared" si="1"/>
        <v>115</v>
      </c>
      <c r="E41" s="9">
        <f t="shared" si="2"/>
        <v>-75</v>
      </c>
      <c r="F41" s="26"/>
      <c r="G41" s="26" t="s">
        <v>60</v>
      </c>
      <c r="H41" s="13">
        <v>-0.0015470537700770209</v>
      </c>
      <c r="I41" s="1">
        <v>40.0</v>
      </c>
    </row>
    <row r="42">
      <c r="A42" s="26" t="s">
        <v>68</v>
      </c>
      <c r="B42" s="13">
        <v>0.03721971154885716</v>
      </c>
      <c r="C42" s="1">
        <v>41.0</v>
      </c>
      <c r="D42" s="9">
        <f t="shared" si="1"/>
        <v>46</v>
      </c>
      <c r="E42" s="9">
        <f t="shared" si="2"/>
        <v>-5</v>
      </c>
      <c r="F42" s="26"/>
      <c r="G42" s="26" t="s">
        <v>115</v>
      </c>
      <c r="H42" s="13">
        <v>-0.002197886199397303</v>
      </c>
      <c r="I42" s="1">
        <v>41.0</v>
      </c>
    </row>
    <row r="43">
      <c r="A43" s="26" t="s">
        <v>60</v>
      </c>
      <c r="B43" s="13">
        <v>0.03724869161452792</v>
      </c>
      <c r="C43" s="1">
        <v>42.0</v>
      </c>
      <c r="D43" s="9">
        <f t="shared" si="1"/>
        <v>40</v>
      </c>
      <c r="E43" s="9">
        <f t="shared" si="2"/>
        <v>2</v>
      </c>
      <c r="F43" s="26"/>
      <c r="G43" s="26" t="s">
        <v>104</v>
      </c>
      <c r="H43" s="13">
        <v>-0.0022835698377044107</v>
      </c>
      <c r="I43" s="1">
        <v>42.0</v>
      </c>
    </row>
    <row r="44">
      <c r="A44" s="26" t="s">
        <v>44</v>
      </c>
      <c r="B44" s="13">
        <v>0.038285767685263004</v>
      </c>
      <c r="C44" s="1">
        <v>43.0</v>
      </c>
      <c r="D44" s="9">
        <f t="shared" si="1"/>
        <v>13</v>
      </c>
      <c r="E44" s="9">
        <f t="shared" si="2"/>
        <v>30</v>
      </c>
      <c r="F44" s="26"/>
      <c r="G44" s="26" t="s">
        <v>107</v>
      </c>
      <c r="H44" s="13">
        <v>-0.0024960962852483572</v>
      </c>
      <c r="I44" s="1">
        <v>43.0</v>
      </c>
    </row>
    <row r="45">
      <c r="A45" s="26" t="s">
        <v>79</v>
      </c>
      <c r="B45" s="13">
        <v>0.041043990653256014</v>
      </c>
      <c r="C45" s="1">
        <v>44.0</v>
      </c>
      <c r="D45" s="9">
        <f t="shared" si="1"/>
        <v>44</v>
      </c>
      <c r="E45" s="9">
        <f t="shared" si="2"/>
        <v>0</v>
      </c>
      <c r="F45" s="26"/>
      <c r="G45" s="26" t="s">
        <v>79</v>
      </c>
      <c r="H45" s="13">
        <v>-0.0036331513806961303</v>
      </c>
      <c r="I45" s="1">
        <v>44.0</v>
      </c>
    </row>
    <row r="46">
      <c r="A46" s="26" t="s">
        <v>71</v>
      </c>
      <c r="B46" s="13">
        <v>0.041460724759111785</v>
      </c>
      <c r="C46" s="1">
        <v>45.0</v>
      </c>
      <c r="D46" s="9">
        <f t="shared" si="1"/>
        <v>31</v>
      </c>
      <c r="E46" s="9">
        <f t="shared" si="2"/>
        <v>14</v>
      </c>
      <c r="F46" s="26"/>
      <c r="G46" s="26" t="s">
        <v>95</v>
      </c>
      <c r="H46" s="13">
        <v>-0.0037923654017694</v>
      </c>
      <c r="I46" s="1">
        <v>45.0</v>
      </c>
    </row>
    <row r="47">
      <c r="A47" s="26" t="s">
        <v>109</v>
      </c>
      <c r="B47" s="13">
        <v>0.042523689516129</v>
      </c>
      <c r="C47" s="1">
        <v>46.0</v>
      </c>
      <c r="D47" s="9">
        <f t="shared" si="1"/>
        <v>33</v>
      </c>
      <c r="E47" s="9">
        <f t="shared" si="2"/>
        <v>13</v>
      </c>
      <c r="F47" s="26"/>
      <c r="G47" s="26" t="s">
        <v>68</v>
      </c>
      <c r="H47" s="13">
        <v>-0.003862124508511766</v>
      </c>
      <c r="I47" s="1">
        <v>46.0</v>
      </c>
    </row>
    <row r="48">
      <c r="A48" s="26" t="s">
        <v>124</v>
      </c>
      <c r="B48" s="13">
        <v>0.04295624550169995</v>
      </c>
      <c r="C48" s="1">
        <v>47.0</v>
      </c>
      <c r="D48" s="9">
        <f t="shared" si="1"/>
        <v>69</v>
      </c>
      <c r="E48" s="9">
        <f t="shared" si="2"/>
        <v>-22</v>
      </c>
      <c r="F48" s="26"/>
      <c r="G48" s="26" t="s">
        <v>96</v>
      </c>
      <c r="H48" s="13">
        <v>-0.0048929072909988415</v>
      </c>
      <c r="I48" s="1">
        <v>47.0</v>
      </c>
    </row>
    <row r="49">
      <c r="A49" s="26" t="s">
        <v>90</v>
      </c>
      <c r="B49" s="13">
        <v>0.04301844746162924</v>
      </c>
      <c r="C49" s="1">
        <v>48.0</v>
      </c>
      <c r="D49" s="9">
        <f t="shared" si="1"/>
        <v>61</v>
      </c>
      <c r="E49" s="9">
        <f t="shared" si="2"/>
        <v>-13</v>
      </c>
      <c r="F49" s="26"/>
      <c r="G49" s="26" t="s">
        <v>28</v>
      </c>
      <c r="H49" s="13">
        <v>-0.006088405779983136</v>
      </c>
      <c r="I49" s="1">
        <v>48.0</v>
      </c>
    </row>
    <row r="50">
      <c r="A50" s="26" t="s">
        <v>69</v>
      </c>
      <c r="B50" s="13">
        <v>0.04316048696082057</v>
      </c>
      <c r="C50" s="1">
        <v>49.0</v>
      </c>
      <c r="D50" s="9">
        <f t="shared" si="1"/>
        <v>93</v>
      </c>
      <c r="E50" s="9">
        <f t="shared" si="2"/>
        <v>-44</v>
      </c>
      <c r="F50" s="26"/>
      <c r="G50" s="26" t="s">
        <v>40</v>
      </c>
      <c r="H50" s="13">
        <v>-0.006310834553725673</v>
      </c>
      <c r="I50" s="1">
        <v>49.0</v>
      </c>
    </row>
    <row r="51">
      <c r="A51" s="26" t="s">
        <v>106</v>
      </c>
      <c r="B51" s="13">
        <v>0.04362913486005086</v>
      </c>
      <c r="C51" s="1">
        <v>50.0</v>
      </c>
      <c r="D51" s="9">
        <f t="shared" si="1"/>
        <v>65</v>
      </c>
      <c r="E51" s="9">
        <f t="shared" si="2"/>
        <v>-15</v>
      </c>
      <c r="F51" s="26"/>
      <c r="G51" s="26" t="s">
        <v>144</v>
      </c>
      <c r="H51" s="13">
        <v>-0.006676165064000106</v>
      </c>
      <c r="I51" s="1">
        <v>50.0</v>
      </c>
    </row>
    <row r="52">
      <c r="A52" s="26" t="s">
        <v>104</v>
      </c>
      <c r="B52" s="13">
        <v>0.04433460810921942</v>
      </c>
      <c r="C52" s="1">
        <v>51.0</v>
      </c>
      <c r="D52" s="9">
        <f t="shared" si="1"/>
        <v>42</v>
      </c>
      <c r="E52" s="9">
        <f t="shared" si="2"/>
        <v>9</v>
      </c>
      <c r="F52" s="26"/>
      <c r="G52" s="26" t="s">
        <v>128</v>
      </c>
      <c r="H52" s="13">
        <v>-0.00685815297511977</v>
      </c>
      <c r="I52" s="1">
        <v>51.0</v>
      </c>
    </row>
    <row r="53">
      <c r="A53" s="26" t="s">
        <v>64</v>
      </c>
      <c r="B53" s="13">
        <v>0.04481250762128726</v>
      </c>
      <c r="C53" s="1">
        <v>52.0</v>
      </c>
      <c r="D53" s="9">
        <f t="shared" si="1"/>
        <v>105</v>
      </c>
      <c r="E53" s="9">
        <f t="shared" si="2"/>
        <v>-53</v>
      </c>
      <c r="F53" s="26"/>
      <c r="G53" s="26" t="s">
        <v>65</v>
      </c>
      <c r="H53" s="13">
        <v>-0.007061358489684715</v>
      </c>
      <c r="I53" s="1">
        <v>52.0</v>
      </c>
    </row>
    <row r="54">
      <c r="A54" s="26" t="s">
        <v>83</v>
      </c>
      <c r="B54" s="13">
        <v>0.04639351851851851</v>
      </c>
      <c r="C54" s="1">
        <v>53.0</v>
      </c>
      <c r="D54" s="9">
        <f t="shared" si="1"/>
        <v>9</v>
      </c>
      <c r="E54" s="9">
        <f t="shared" si="2"/>
        <v>44</v>
      </c>
      <c r="F54" s="26"/>
      <c r="G54" s="26" t="s">
        <v>101</v>
      </c>
      <c r="H54" s="13">
        <v>-0.007115867258484938</v>
      </c>
      <c r="I54" s="1">
        <v>53.0</v>
      </c>
    </row>
    <row r="55">
      <c r="A55" s="26" t="s">
        <v>94</v>
      </c>
      <c r="B55" s="13">
        <v>0.04658042571867451</v>
      </c>
      <c r="C55" s="1">
        <v>54.0</v>
      </c>
      <c r="D55" s="9">
        <f t="shared" si="1"/>
        <v>70</v>
      </c>
      <c r="E55" s="9">
        <f t="shared" si="2"/>
        <v>-16</v>
      </c>
      <c r="F55" s="26"/>
      <c r="G55" s="26" t="s">
        <v>78</v>
      </c>
      <c r="H55" s="13">
        <v>-0.007872508226155745</v>
      </c>
      <c r="I55" s="1">
        <v>54.0</v>
      </c>
    </row>
    <row r="56">
      <c r="A56" s="26" t="s">
        <v>86</v>
      </c>
      <c r="B56" s="13">
        <v>0.047918974184203704</v>
      </c>
      <c r="C56" s="1">
        <v>55.0</v>
      </c>
      <c r="D56" s="9">
        <f t="shared" si="1"/>
        <v>68</v>
      </c>
      <c r="E56" s="9">
        <f t="shared" si="2"/>
        <v>-13</v>
      </c>
      <c r="F56" s="26"/>
      <c r="G56" s="26" t="s">
        <v>100</v>
      </c>
      <c r="H56" s="13">
        <v>-0.008148579940841602</v>
      </c>
      <c r="I56" s="1">
        <v>55.0</v>
      </c>
    </row>
    <row r="57">
      <c r="A57" s="26" t="s">
        <v>102</v>
      </c>
      <c r="B57" s="13">
        <v>0.04938705008202244</v>
      </c>
      <c r="C57" s="1">
        <v>56.0</v>
      </c>
      <c r="D57" s="9">
        <f t="shared" si="1"/>
        <v>76</v>
      </c>
      <c r="E57" s="9">
        <f t="shared" si="2"/>
        <v>-20</v>
      </c>
      <c r="F57" s="26"/>
      <c r="G57" s="26" t="s">
        <v>136</v>
      </c>
      <c r="H57" s="13">
        <v>-0.008257450750277177</v>
      </c>
      <c r="I57" s="1">
        <v>56.0</v>
      </c>
    </row>
    <row r="58">
      <c r="A58" s="26" t="s">
        <v>58</v>
      </c>
      <c r="B58" s="13">
        <v>0.04985372732115433</v>
      </c>
      <c r="C58" s="1">
        <v>57.0</v>
      </c>
      <c r="D58" s="9">
        <f t="shared" si="1"/>
        <v>85</v>
      </c>
      <c r="E58" s="9">
        <f t="shared" si="2"/>
        <v>-28</v>
      </c>
      <c r="F58" s="26"/>
      <c r="G58" s="26" t="s">
        <v>110</v>
      </c>
      <c r="H58" s="13">
        <v>-0.008580727214411246</v>
      </c>
      <c r="I58" s="1">
        <v>57.0</v>
      </c>
    </row>
    <row r="59">
      <c r="A59" s="26" t="s">
        <v>48</v>
      </c>
      <c r="B59" s="13">
        <v>0.05029102521008386</v>
      </c>
      <c r="C59" s="1">
        <v>58.0</v>
      </c>
      <c r="D59" s="9">
        <f t="shared" si="1"/>
        <v>23</v>
      </c>
      <c r="E59" s="9">
        <f t="shared" si="2"/>
        <v>35</v>
      </c>
      <c r="F59" s="26"/>
      <c r="G59" s="26" t="s">
        <v>75</v>
      </c>
      <c r="H59" s="13">
        <v>-0.008809597532115767</v>
      </c>
      <c r="I59" s="1">
        <v>58.0</v>
      </c>
    </row>
    <row r="60">
      <c r="A60" s="26" t="s">
        <v>70</v>
      </c>
      <c r="B60" s="13">
        <v>0.0517762215245913</v>
      </c>
      <c r="C60" s="1">
        <v>59.0</v>
      </c>
      <c r="D60" s="9">
        <f t="shared" si="1"/>
        <v>74</v>
      </c>
      <c r="E60" s="9">
        <f t="shared" si="2"/>
        <v>-15</v>
      </c>
      <c r="F60" s="26"/>
      <c r="G60" s="26" t="s">
        <v>16</v>
      </c>
      <c r="H60" s="13">
        <v>-0.009049236158824742</v>
      </c>
      <c r="I60" s="1">
        <v>59.0</v>
      </c>
    </row>
    <row r="61">
      <c r="A61" s="26" t="s">
        <v>99</v>
      </c>
      <c r="B61" s="13">
        <v>0.051910245821042256</v>
      </c>
      <c r="C61" s="1">
        <v>60.0</v>
      </c>
      <c r="D61" s="9">
        <f t="shared" si="1"/>
        <v>103</v>
      </c>
      <c r="E61" s="9">
        <f t="shared" si="2"/>
        <v>-43</v>
      </c>
      <c r="F61" s="26"/>
      <c r="G61" s="26" t="s">
        <v>131</v>
      </c>
      <c r="H61" s="13">
        <v>-0.0093022493980152</v>
      </c>
      <c r="I61" s="1">
        <v>60.0</v>
      </c>
    </row>
    <row r="62">
      <c r="A62" s="26" t="s">
        <v>130</v>
      </c>
      <c r="B62" s="13">
        <v>0.05225093209333498</v>
      </c>
      <c r="C62" s="1">
        <v>61.0</v>
      </c>
      <c r="D62" s="9">
        <f t="shared" si="1"/>
        <v>78</v>
      </c>
      <c r="E62" s="9">
        <f t="shared" si="2"/>
        <v>-17</v>
      </c>
      <c r="F62" s="26"/>
      <c r="G62" s="26" t="s">
        <v>90</v>
      </c>
      <c r="H62" s="13">
        <v>-0.010330568866535914</v>
      </c>
      <c r="I62" s="1">
        <v>61.0</v>
      </c>
    </row>
    <row r="63">
      <c r="A63" s="26" t="s">
        <v>160</v>
      </c>
      <c r="B63" s="13">
        <v>0.052408216203173014</v>
      </c>
      <c r="C63" s="1">
        <v>62.0</v>
      </c>
      <c r="D63" s="9">
        <f t="shared" si="1"/>
        <v>27</v>
      </c>
      <c r="E63" s="9">
        <f t="shared" si="2"/>
        <v>35</v>
      </c>
      <c r="F63" s="26"/>
      <c r="G63" s="26" t="s">
        <v>88</v>
      </c>
      <c r="H63" s="13">
        <v>-0.010411617587469599</v>
      </c>
      <c r="I63" s="1">
        <v>62.0</v>
      </c>
    </row>
    <row r="64">
      <c r="A64" s="26" t="s">
        <v>95</v>
      </c>
      <c r="B64" s="13">
        <v>0.05266106384450428</v>
      </c>
      <c r="C64" s="1">
        <v>63.0</v>
      </c>
      <c r="D64" s="9">
        <f t="shared" si="1"/>
        <v>45</v>
      </c>
      <c r="E64" s="9">
        <f t="shared" si="2"/>
        <v>18</v>
      </c>
      <c r="F64" s="26"/>
      <c r="G64" s="26" t="s">
        <v>118</v>
      </c>
      <c r="H64" s="13">
        <v>-0.010558107747782793</v>
      </c>
      <c r="I64" s="1">
        <v>63.0</v>
      </c>
    </row>
    <row r="65">
      <c r="A65" s="26" t="s">
        <v>137</v>
      </c>
      <c r="B65" s="13">
        <v>0.053780697563306216</v>
      </c>
      <c r="C65" s="1">
        <v>64.0</v>
      </c>
      <c r="D65" s="9">
        <f t="shared" si="1"/>
        <v>79</v>
      </c>
      <c r="E65" s="9">
        <f t="shared" si="2"/>
        <v>-15</v>
      </c>
      <c r="F65" s="26"/>
      <c r="G65" s="26" t="s">
        <v>133</v>
      </c>
      <c r="H65" s="13">
        <v>-0.010619635039995327</v>
      </c>
      <c r="I65" s="1">
        <v>64.0</v>
      </c>
    </row>
    <row r="66">
      <c r="A66" s="26" t="s">
        <v>77</v>
      </c>
      <c r="B66" s="13">
        <v>0.053835422602089136</v>
      </c>
      <c r="C66" s="1">
        <v>65.0</v>
      </c>
      <c r="D66" s="9">
        <f t="shared" si="1"/>
        <v>21</v>
      </c>
      <c r="E66" s="9">
        <f t="shared" si="2"/>
        <v>44</v>
      </c>
      <c r="F66" s="26"/>
      <c r="G66" s="26" t="s">
        <v>106</v>
      </c>
      <c r="H66" s="13">
        <v>-0.010644358245435664</v>
      </c>
      <c r="I66" s="1">
        <v>65.0</v>
      </c>
    </row>
    <row r="67">
      <c r="A67" s="26" t="s">
        <v>88</v>
      </c>
      <c r="B67" s="13">
        <v>0.053868708895207756</v>
      </c>
      <c r="C67" s="1">
        <v>66.0</v>
      </c>
      <c r="D67" s="9">
        <f t="shared" si="1"/>
        <v>62</v>
      </c>
      <c r="E67" s="9">
        <f t="shared" si="2"/>
        <v>4</v>
      </c>
      <c r="F67" s="26"/>
      <c r="G67" s="26" t="s">
        <v>108</v>
      </c>
      <c r="H67" s="13">
        <v>-0.01068542134401762</v>
      </c>
      <c r="I67" s="1">
        <v>66.0</v>
      </c>
    </row>
    <row r="68">
      <c r="A68" s="26" t="s">
        <v>144</v>
      </c>
      <c r="B68" s="13">
        <v>0.054056414574402814</v>
      </c>
      <c r="C68" s="1">
        <v>67.0</v>
      </c>
      <c r="D68" s="9">
        <f t="shared" si="1"/>
        <v>50</v>
      </c>
      <c r="E68" s="9">
        <f t="shared" si="2"/>
        <v>17</v>
      </c>
      <c r="F68" s="26"/>
      <c r="G68" s="26" t="s">
        <v>111</v>
      </c>
      <c r="H68" s="13">
        <v>-0.010769613112828985</v>
      </c>
      <c r="I68" s="1">
        <v>67.0</v>
      </c>
    </row>
    <row r="69">
      <c r="A69" s="26" t="s">
        <v>110</v>
      </c>
      <c r="B69" s="13">
        <v>0.05418402016917598</v>
      </c>
      <c r="C69" s="1">
        <v>68.0</v>
      </c>
      <c r="D69" s="9">
        <f t="shared" si="1"/>
        <v>57</v>
      </c>
      <c r="E69" s="9">
        <f t="shared" si="2"/>
        <v>11</v>
      </c>
      <c r="F69" s="26"/>
      <c r="G69" s="26" t="s">
        <v>86</v>
      </c>
      <c r="H69" s="13">
        <v>-0.011087868393522706</v>
      </c>
      <c r="I69" s="1">
        <v>68.0</v>
      </c>
    </row>
    <row r="70">
      <c r="A70" s="26" t="s">
        <v>143</v>
      </c>
      <c r="B70" s="13">
        <v>0.05488011894647397</v>
      </c>
      <c r="C70" s="1">
        <v>69.0</v>
      </c>
      <c r="D70" s="9">
        <f t="shared" si="1"/>
        <v>84</v>
      </c>
      <c r="E70" s="9">
        <f t="shared" si="2"/>
        <v>-15</v>
      </c>
      <c r="F70" s="26"/>
      <c r="G70" s="26" t="s">
        <v>124</v>
      </c>
      <c r="H70" s="13">
        <v>-0.011566588067977274</v>
      </c>
      <c r="I70" s="1">
        <v>69.0</v>
      </c>
    </row>
    <row r="71">
      <c r="A71" s="26" t="s">
        <v>87</v>
      </c>
      <c r="B71" s="13">
        <v>0.05516259398496226</v>
      </c>
      <c r="C71" s="1">
        <v>70.0</v>
      </c>
      <c r="D71" s="9">
        <f t="shared" si="1"/>
        <v>100</v>
      </c>
      <c r="E71" s="9">
        <f t="shared" si="2"/>
        <v>-30</v>
      </c>
      <c r="F71" s="26"/>
      <c r="G71" s="26" t="s">
        <v>94</v>
      </c>
      <c r="H71" s="13">
        <v>-0.011587618154885345</v>
      </c>
      <c r="I71" s="1">
        <v>70.0</v>
      </c>
    </row>
    <row r="72">
      <c r="A72" s="26" t="s">
        <v>157</v>
      </c>
      <c r="B72" s="13">
        <v>0.055375326315789467</v>
      </c>
      <c r="C72" s="1">
        <v>71.0</v>
      </c>
      <c r="D72" s="9">
        <f t="shared" si="1"/>
        <v>32</v>
      </c>
      <c r="E72" s="9">
        <f t="shared" si="2"/>
        <v>39</v>
      </c>
      <c r="F72" s="26"/>
      <c r="G72" s="26" t="s">
        <v>126</v>
      </c>
      <c r="H72" s="13">
        <v>-0.011641541331676495</v>
      </c>
      <c r="I72" s="1">
        <v>71.0</v>
      </c>
    </row>
    <row r="73">
      <c r="A73" s="26" t="s">
        <v>80</v>
      </c>
      <c r="B73" s="13">
        <v>0.05555183844773569</v>
      </c>
      <c r="C73" s="1">
        <v>72.0</v>
      </c>
      <c r="D73" s="9">
        <f t="shared" si="1"/>
        <v>120</v>
      </c>
      <c r="E73" s="9">
        <f t="shared" si="2"/>
        <v>-48</v>
      </c>
      <c r="F73" s="26"/>
      <c r="G73" s="26" t="s">
        <v>171</v>
      </c>
      <c r="H73" s="13">
        <v>-0.01213381083503042</v>
      </c>
      <c r="I73" s="1">
        <v>72.0</v>
      </c>
    </row>
    <row r="74">
      <c r="A74" s="26" t="s">
        <v>103</v>
      </c>
      <c r="B74" s="13">
        <v>0.055670315789473686</v>
      </c>
      <c r="C74" s="1">
        <v>73.0</v>
      </c>
      <c r="D74" s="9">
        <f t="shared" si="1"/>
        <v>118</v>
      </c>
      <c r="E74" s="9">
        <f t="shared" si="2"/>
        <v>-45</v>
      </c>
      <c r="F74" s="26"/>
      <c r="G74" s="26" t="s">
        <v>63</v>
      </c>
      <c r="H74" s="13">
        <v>-0.01262106929467589</v>
      </c>
      <c r="I74" s="1">
        <v>73.0</v>
      </c>
    </row>
    <row r="75">
      <c r="A75" s="26" t="s">
        <v>98</v>
      </c>
      <c r="B75" s="13">
        <v>0.05718471814923418</v>
      </c>
      <c r="C75" s="1">
        <v>74.0</v>
      </c>
      <c r="D75" s="9">
        <f t="shared" si="1"/>
        <v>124</v>
      </c>
      <c r="E75" s="9">
        <f t="shared" si="2"/>
        <v>-50</v>
      </c>
      <c r="F75" s="26"/>
      <c r="G75" s="26" t="s">
        <v>70</v>
      </c>
      <c r="H75" s="13">
        <v>-0.01370822602621102</v>
      </c>
      <c r="I75" s="1">
        <v>74.0</v>
      </c>
    </row>
    <row r="76">
      <c r="A76" s="26" t="s">
        <v>147</v>
      </c>
      <c r="B76" s="13">
        <v>0.05960726495726488</v>
      </c>
      <c r="C76" s="1">
        <v>75.0</v>
      </c>
      <c r="D76" s="9">
        <f t="shared" si="1"/>
        <v>91</v>
      </c>
      <c r="E76" s="9">
        <f t="shared" si="2"/>
        <v>-16</v>
      </c>
      <c r="F76" s="26"/>
      <c r="G76" s="26" t="s">
        <v>149</v>
      </c>
      <c r="H76" s="13">
        <v>-0.014493036272586102</v>
      </c>
      <c r="I76" s="1">
        <v>75.0</v>
      </c>
    </row>
    <row r="77">
      <c r="A77" s="26" t="s">
        <v>154</v>
      </c>
      <c r="B77" s="13">
        <v>0.05965008576329319</v>
      </c>
      <c r="C77" s="1">
        <v>76.0</v>
      </c>
      <c r="D77" s="9">
        <f t="shared" si="1"/>
        <v>102</v>
      </c>
      <c r="E77" s="9">
        <f t="shared" si="2"/>
        <v>-26</v>
      </c>
      <c r="F77" s="26"/>
      <c r="G77" s="26" t="s">
        <v>102</v>
      </c>
      <c r="H77" s="13">
        <v>-0.015476887690970149</v>
      </c>
      <c r="I77" s="1">
        <v>76.0</v>
      </c>
    </row>
    <row r="78">
      <c r="A78" s="26" t="s">
        <v>126</v>
      </c>
      <c r="B78" s="13">
        <v>0.06033506403599859</v>
      </c>
      <c r="C78" s="1">
        <v>77.0</v>
      </c>
      <c r="D78" s="9">
        <f t="shared" si="1"/>
        <v>71</v>
      </c>
      <c r="E78" s="9">
        <f t="shared" si="2"/>
        <v>6</v>
      </c>
      <c r="F78" s="26"/>
      <c r="G78" s="26" t="s">
        <v>146</v>
      </c>
      <c r="H78" s="13">
        <v>-0.015502445727806366</v>
      </c>
      <c r="I78" s="1">
        <v>77.0</v>
      </c>
    </row>
    <row r="79">
      <c r="A79" s="26" t="s">
        <v>133</v>
      </c>
      <c r="B79" s="13">
        <v>0.06083144070307095</v>
      </c>
      <c r="C79" s="1">
        <v>78.0</v>
      </c>
      <c r="D79" s="9">
        <f t="shared" si="1"/>
        <v>64</v>
      </c>
      <c r="E79" s="9">
        <f t="shared" si="2"/>
        <v>14</v>
      </c>
      <c r="F79" s="26"/>
      <c r="G79" s="26" t="s">
        <v>130</v>
      </c>
      <c r="H79" s="13">
        <v>-0.016143881254754182</v>
      </c>
      <c r="I79" s="1">
        <v>78.0</v>
      </c>
    </row>
    <row r="80">
      <c r="A80" s="26" t="s">
        <v>150</v>
      </c>
      <c r="B80" s="13">
        <v>0.06086054421768698</v>
      </c>
      <c r="C80" s="1">
        <v>79.0</v>
      </c>
      <c r="D80" s="9">
        <f t="shared" si="1"/>
        <v>82</v>
      </c>
      <c r="E80" s="9">
        <f t="shared" si="2"/>
        <v>-3</v>
      </c>
      <c r="F80" s="26"/>
      <c r="G80" s="26" t="s">
        <v>137</v>
      </c>
      <c r="H80" s="13">
        <v>-0.016261236097130174</v>
      </c>
      <c r="I80" s="1">
        <v>79.0</v>
      </c>
    </row>
    <row r="81">
      <c r="A81" s="26" t="s">
        <v>78</v>
      </c>
      <c r="B81" s="13">
        <v>0.06180600176522497</v>
      </c>
      <c r="C81" s="1">
        <v>80.0</v>
      </c>
      <c r="D81" s="9">
        <f t="shared" si="1"/>
        <v>54</v>
      </c>
      <c r="E81" s="9">
        <f t="shared" si="2"/>
        <v>26</v>
      </c>
      <c r="F81" s="26"/>
      <c r="G81" s="26" t="s">
        <v>34</v>
      </c>
      <c r="H81" s="13">
        <v>-0.0164277646629294</v>
      </c>
      <c r="I81" s="1">
        <v>80.0</v>
      </c>
    </row>
    <row r="82">
      <c r="A82" s="26" t="s">
        <v>172</v>
      </c>
      <c r="B82" s="13">
        <v>0.06276282894736837</v>
      </c>
      <c r="C82" s="1">
        <v>81.0</v>
      </c>
      <c r="D82" s="9">
        <f t="shared" si="1"/>
        <v>39</v>
      </c>
      <c r="E82" s="9">
        <f t="shared" si="2"/>
        <v>42</v>
      </c>
      <c r="F82" s="26"/>
      <c r="G82" s="26" t="s">
        <v>113</v>
      </c>
      <c r="H82" s="13">
        <v>-0.017666061381493806</v>
      </c>
      <c r="I82" s="1">
        <v>81.0</v>
      </c>
    </row>
    <row r="83">
      <c r="A83" s="26" t="s">
        <v>118</v>
      </c>
      <c r="B83" s="13">
        <v>0.0647371346768795</v>
      </c>
      <c r="C83" s="1">
        <v>82.0</v>
      </c>
      <c r="D83" s="9">
        <f t="shared" si="1"/>
        <v>63</v>
      </c>
      <c r="E83" s="9">
        <f t="shared" si="2"/>
        <v>19</v>
      </c>
      <c r="F83" s="26"/>
      <c r="G83" s="26" t="s">
        <v>150</v>
      </c>
      <c r="H83" s="13">
        <v>-0.01799449078229253</v>
      </c>
      <c r="I83" s="1">
        <v>82.0</v>
      </c>
    </row>
    <row r="84">
      <c r="A84" s="26" t="s">
        <v>73</v>
      </c>
      <c r="B84" s="13">
        <v>0.06561849397356868</v>
      </c>
      <c r="C84" s="1">
        <v>83.0</v>
      </c>
      <c r="D84" s="9">
        <f t="shared" si="1"/>
        <v>97</v>
      </c>
      <c r="E84" s="9">
        <f t="shared" si="2"/>
        <v>-14</v>
      </c>
      <c r="F84" s="26"/>
      <c r="G84" s="26" t="s">
        <v>91</v>
      </c>
      <c r="H84" s="13">
        <v>-0.0186476355339799</v>
      </c>
      <c r="I84" s="1">
        <v>83.0</v>
      </c>
    </row>
    <row r="85">
      <c r="A85" s="26" t="s">
        <v>128</v>
      </c>
      <c r="B85" s="13">
        <v>0.06600440662094785</v>
      </c>
      <c r="C85" s="1">
        <v>84.0</v>
      </c>
      <c r="D85" s="9">
        <f t="shared" si="1"/>
        <v>51</v>
      </c>
      <c r="E85" s="9">
        <f t="shared" si="2"/>
        <v>33</v>
      </c>
      <c r="F85" s="26"/>
      <c r="G85" s="26" t="s">
        <v>143</v>
      </c>
      <c r="H85" s="13">
        <v>-0.018674747943302695</v>
      </c>
      <c r="I85" s="1">
        <v>84.0</v>
      </c>
    </row>
    <row r="86">
      <c r="A86" s="26" t="s">
        <v>100</v>
      </c>
      <c r="B86" s="13">
        <v>0.06616145201713952</v>
      </c>
      <c r="C86" s="1">
        <v>85.0</v>
      </c>
      <c r="D86" s="9">
        <f t="shared" si="1"/>
        <v>55</v>
      </c>
      <c r="E86" s="9">
        <f t="shared" si="2"/>
        <v>30</v>
      </c>
      <c r="F86" s="26"/>
      <c r="G86" s="26" t="s">
        <v>58</v>
      </c>
      <c r="H86" s="13">
        <v>-0.019034025459081078</v>
      </c>
      <c r="I86" s="1">
        <v>85.0</v>
      </c>
    </row>
    <row r="87">
      <c r="A87" s="26" t="s">
        <v>116</v>
      </c>
      <c r="B87" s="13">
        <v>0.06625831822790239</v>
      </c>
      <c r="C87" s="1">
        <v>86.0</v>
      </c>
      <c r="D87" s="9">
        <f t="shared" si="1"/>
        <v>109</v>
      </c>
      <c r="E87" s="9">
        <f t="shared" si="2"/>
        <v>-23</v>
      </c>
      <c r="F87" s="26"/>
      <c r="G87" s="26" t="s">
        <v>132</v>
      </c>
      <c r="H87" s="13">
        <v>-0.019823960169196807</v>
      </c>
      <c r="I87" s="1">
        <v>86.0</v>
      </c>
    </row>
    <row r="88">
      <c r="A88" s="26" t="s">
        <v>114</v>
      </c>
      <c r="B88" s="13">
        <v>0.06631419117647058</v>
      </c>
      <c r="C88" s="1">
        <v>87.0</v>
      </c>
      <c r="D88" s="9">
        <f t="shared" si="1"/>
        <v>99</v>
      </c>
      <c r="E88" s="9">
        <f t="shared" si="2"/>
        <v>-12</v>
      </c>
      <c r="F88" s="26"/>
      <c r="G88" s="26" t="s">
        <v>177</v>
      </c>
      <c r="H88" s="13">
        <v>-0.019976089915866798</v>
      </c>
      <c r="I88" s="1">
        <v>87.0</v>
      </c>
    </row>
    <row r="89">
      <c r="A89" s="26" t="s">
        <v>159</v>
      </c>
      <c r="B89" s="13">
        <v>0.06680652876535223</v>
      </c>
      <c r="C89" s="1">
        <v>88.0</v>
      </c>
      <c r="D89" s="9">
        <f t="shared" si="1"/>
        <v>25</v>
      </c>
      <c r="E89" s="9">
        <f t="shared" si="2"/>
        <v>63</v>
      </c>
      <c r="F89" s="26"/>
      <c r="G89" s="26" t="s">
        <v>129</v>
      </c>
      <c r="H89" s="13">
        <v>-0.021014320902334366</v>
      </c>
      <c r="I89" s="1">
        <v>88.0</v>
      </c>
    </row>
    <row r="90">
      <c r="A90" s="26" t="s">
        <v>136</v>
      </c>
      <c r="B90" s="13">
        <v>0.06777526323594828</v>
      </c>
      <c r="C90" s="1">
        <v>89.0</v>
      </c>
      <c r="D90" s="9">
        <f t="shared" si="1"/>
        <v>56</v>
      </c>
      <c r="E90" s="9">
        <f t="shared" si="2"/>
        <v>33</v>
      </c>
      <c r="F90" s="26"/>
      <c r="G90" s="26" t="s">
        <v>135</v>
      </c>
      <c r="H90" s="13">
        <v>-0.021839571534093005</v>
      </c>
      <c r="I90" s="1">
        <v>89.0</v>
      </c>
    </row>
    <row r="91">
      <c r="A91" s="26" t="s">
        <v>108</v>
      </c>
      <c r="B91" s="13">
        <v>0.0682229082344331</v>
      </c>
      <c r="C91" s="1">
        <v>90.0</v>
      </c>
      <c r="D91" s="9">
        <f t="shared" si="1"/>
        <v>66</v>
      </c>
      <c r="E91" s="9">
        <f t="shared" si="2"/>
        <v>24</v>
      </c>
      <c r="F91" s="26"/>
      <c r="G91" s="26" t="s">
        <v>122</v>
      </c>
      <c r="H91" s="13">
        <v>-0.0224179324129942</v>
      </c>
      <c r="I91" s="1">
        <v>90.0</v>
      </c>
    </row>
    <row r="92">
      <c r="A92" s="26" t="s">
        <v>91</v>
      </c>
      <c r="B92" s="13">
        <v>0.0691531312325487</v>
      </c>
      <c r="C92" s="1">
        <v>91.0</v>
      </c>
      <c r="D92" s="9">
        <f t="shared" si="1"/>
        <v>83</v>
      </c>
      <c r="E92" s="9">
        <f t="shared" si="2"/>
        <v>8</v>
      </c>
      <c r="F92" s="26"/>
      <c r="G92" s="26" t="s">
        <v>147</v>
      </c>
      <c r="H92" s="13">
        <v>-0.022646574322802843</v>
      </c>
      <c r="I92" s="1">
        <v>91.0</v>
      </c>
    </row>
    <row r="93">
      <c r="A93" s="26" t="s">
        <v>105</v>
      </c>
      <c r="B93" s="13">
        <v>0.06940219840240296</v>
      </c>
      <c r="C93" s="1">
        <v>92.0</v>
      </c>
      <c r="D93" s="9">
        <f t="shared" si="1"/>
        <v>95</v>
      </c>
      <c r="E93" s="9">
        <f t="shared" si="2"/>
        <v>-3</v>
      </c>
      <c r="F93" s="26"/>
      <c r="G93" s="26" t="s">
        <v>139</v>
      </c>
      <c r="H93" s="13">
        <v>-0.022796706399421208</v>
      </c>
      <c r="I93" s="1">
        <v>92.0</v>
      </c>
    </row>
    <row r="94">
      <c r="A94" s="26" t="s">
        <v>97</v>
      </c>
      <c r="B94" s="13">
        <v>0.06942911358811038</v>
      </c>
      <c r="C94" s="1">
        <v>93.0</v>
      </c>
      <c r="D94" s="9">
        <f t="shared" si="1"/>
        <v>34</v>
      </c>
      <c r="E94" s="9">
        <f t="shared" si="2"/>
        <v>59</v>
      </c>
      <c r="F94" s="26"/>
      <c r="G94" s="26" t="s">
        <v>69</v>
      </c>
      <c r="H94" s="13">
        <v>-0.023744325709440815</v>
      </c>
      <c r="I94" s="1">
        <v>93.0</v>
      </c>
    </row>
    <row r="95">
      <c r="A95" s="26" t="s">
        <v>117</v>
      </c>
      <c r="B95" s="13">
        <v>0.07196261459697575</v>
      </c>
      <c r="C95" s="1">
        <v>94.0</v>
      </c>
      <c r="D95" s="9">
        <f t="shared" si="1"/>
        <v>113</v>
      </c>
      <c r="E95" s="9">
        <f t="shared" si="2"/>
        <v>-19</v>
      </c>
      <c r="F95" s="26"/>
      <c r="G95" s="26" t="s">
        <v>173</v>
      </c>
      <c r="H95" s="13">
        <v>-0.024576648411033155</v>
      </c>
      <c r="I95" s="1">
        <v>94.0</v>
      </c>
    </row>
    <row r="96">
      <c r="A96" s="26" t="s">
        <v>113</v>
      </c>
      <c r="B96" s="13">
        <v>0.07449109977324249</v>
      </c>
      <c r="C96" s="1">
        <v>95.0</v>
      </c>
      <c r="D96" s="9">
        <f t="shared" si="1"/>
        <v>81</v>
      </c>
      <c r="E96" s="9">
        <f t="shared" si="2"/>
        <v>14</v>
      </c>
      <c r="F96" s="26"/>
      <c r="G96" s="26" t="s">
        <v>105</v>
      </c>
      <c r="H96" s="13">
        <v>-0.02462870702720702</v>
      </c>
      <c r="I96" s="1">
        <v>95.0</v>
      </c>
    </row>
    <row r="97">
      <c r="A97" s="26" t="s">
        <v>121</v>
      </c>
      <c r="B97" s="13">
        <v>0.07490178710178694</v>
      </c>
      <c r="C97" s="1">
        <v>96.0</v>
      </c>
      <c r="D97" s="9">
        <f t="shared" si="1"/>
        <v>133</v>
      </c>
      <c r="E97" s="9">
        <f t="shared" si="2"/>
        <v>-37</v>
      </c>
      <c r="F97" s="26"/>
      <c r="G97" s="26" t="s">
        <v>123</v>
      </c>
      <c r="H97" s="13">
        <v>-0.025000669837323623</v>
      </c>
      <c r="I97" s="1">
        <v>96.0</v>
      </c>
    </row>
    <row r="98">
      <c r="A98" s="26" t="s">
        <v>149</v>
      </c>
      <c r="B98" s="13">
        <v>0.07552536796536788</v>
      </c>
      <c r="C98" s="1">
        <v>97.0</v>
      </c>
      <c r="D98" s="9">
        <f t="shared" si="1"/>
        <v>75</v>
      </c>
      <c r="E98" s="9">
        <f t="shared" si="2"/>
        <v>22</v>
      </c>
      <c r="F98" s="26"/>
      <c r="G98" s="26" t="s">
        <v>73</v>
      </c>
      <c r="H98" s="13">
        <v>-0.026821173747073403</v>
      </c>
      <c r="I98" s="1">
        <v>97.0</v>
      </c>
    </row>
    <row r="99">
      <c r="A99" s="26" t="s">
        <v>115</v>
      </c>
      <c r="B99" s="13">
        <v>0.07558716660224193</v>
      </c>
      <c r="C99" s="1">
        <v>98.0</v>
      </c>
      <c r="D99" s="9">
        <f t="shared" si="1"/>
        <v>41</v>
      </c>
      <c r="E99" s="9">
        <f t="shared" si="2"/>
        <v>57</v>
      </c>
      <c r="F99" s="26"/>
      <c r="G99" s="26" t="s">
        <v>158</v>
      </c>
      <c r="H99" s="13">
        <v>-0.02685612629669559</v>
      </c>
      <c r="I99" s="1">
        <v>98.0</v>
      </c>
    </row>
    <row r="100">
      <c r="A100" s="26" t="s">
        <v>120</v>
      </c>
      <c r="B100" s="13">
        <v>0.07643092014368603</v>
      </c>
      <c r="C100" s="1">
        <v>99.0</v>
      </c>
      <c r="D100" s="9">
        <f t="shared" si="1"/>
        <v>107</v>
      </c>
      <c r="E100" s="9">
        <f t="shared" si="2"/>
        <v>-8</v>
      </c>
      <c r="F100" s="26"/>
      <c r="G100" s="26" t="s">
        <v>114</v>
      </c>
      <c r="H100" s="13">
        <v>-0.027190088933368613</v>
      </c>
      <c r="I100" s="1">
        <v>99.0</v>
      </c>
    </row>
    <row r="101">
      <c r="A101" s="26" t="s">
        <v>135</v>
      </c>
      <c r="B101" s="13">
        <v>0.0778108852583585</v>
      </c>
      <c r="C101" s="1">
        <v>100.0</v>
      </c>
      <c r="D101" s="9">
        <f t="shared" si="1"/>
        <v>89</v>
      </c>
      <c r="E101" s="9">
        <f t="shared" si="2"/>
        <v>11</v>
      </c>
      <c r="F101" s="26"/>
      <c r="G101" s="26" t="s">
        <v>87</v>
      </c>
      <c r="H101" s="13">
        <v>-0.028116316810612094</v>
      </c>
      <c r="I101" s="1">
        <v>100.0</v>
      </c>
    </row>
    <row r="102">
      <c r="A102" s="26" t="s">
        <v>163</v>
      </c>
      <c r="B102" s="13">
        <v>0.07881075753308917</v>
      </c>
      <c r="C102" s="1">
        <v>101.0</v>
      </c>
      <c r="D102" s="9">
        <f t="shared" si="1"/>
        <v>149</v>
      </c>
      <c r="E102" s="9">
        <f t="shared" si="2"/>
        <v>-48</v>
      </c>
      <c r="F102" s="26"/>
      <c r="G102" s="26" t="s">
        <v>119</v>
      </c>
      <c r="H102" s="13">
        <v>-0.028527717792773032</v>
      </c>
      <c r="I102" s="1">
        <v>101.0</v>
      </c>
    </row>
    <row r="103">
      <c r="A103" s="26" t="s">
        <v>140</v>
      </c>
      <c r="B103" s="13">
        <v>0.08288534585753711</v>
      </c>
      <c r="C103" s="1">
        <v>102.0</v>
      </c>
      <c r="D103" s="9">
        <f t="shared" si="1"/>
        <v>108</v>
      </c>
      <c r="E103" s="9">
        <f t="shared" si="2"/>
        <v>-6</v>
      </c>
      <c r="F103" s="26"/>
      <c r="G103" s="26" t="s">
        <v>154</v>
      </c>
      <c r="H103" s="13">
        <v>-0.029476826818916346</v>
      </c>
      <c r="I103" s="1">
        <v>102.0</v>
      </c>
    </row>
    <row r="104">
      <c r="A104" s="26" t="s">
        <v>152</v>
      </c>
      <c r="B104" s="13">
        <v>0.08364631843926981</v>
      </c>
      <c r="C104" s="1">
        <v>103.0</v>
      </c>
      <c r="D104" s="9">
        <f t="shared" si="1"/>
        <v>110</v>
      </c>
      <c r="E104" s="9">
        <f t="shared" si="2"/>
        <v>-7</v>
      </c>
      <c r="F104" s="26"/>
      <c r="G104" s="26" t="s">
        <v>99</v>
      </c>
      <c r="H104" s="13">
        <v>-0.030646673416757905</v>
      </c>
      <c r="I104" s="1">
        <v>103.0</v>
      </c>
    </row>
    <row r="105">
      <c r="A105" s="26" t="s">
        <v>125</v>
      </c>
      <c r="B105" s="13">
        <v>0.08498235468564626</v>
      </c>
      <c r="C105" s="1">
        <v>104.0</v>
      </c>
      <c r="D105" s="9">
        <f t="shared" si="1"/>
        <v>129</v>
      </c>
      <c r="E105" s="9">
        <f t="shared" si="2"/>
        <v>-25</v>
      </c>
      <c r="F105" s="26"/>
      <c r="G105" s="26" t="s">
        <v>175</v>
      </c>
      <c r="H105" s="13">
        <v>-0.0313459000315721</v>
      </c>
      <c r="I105" s="1">
        <v>104.0</v>
      </c>
    </row>
    <row r="106">
      <c r="A106" s="26" t="s">
        <v>122</v>
      </c>
      <c r="B106" s="13">
        <v>0.0860823370072855</v>
      </c>
      <c r="C106" s="1">
        <v>105.0</v>
      </c>
      <c r="D106" s="9">
        <f t="shared" si="1"/>
        <v>90</v>
      </c>
      <c r="E106" s="9">
        <f t="shared" si="2"/>
        <v>15</v>
      </c>
      <c r="F106" s="26"/>
      <c r="G106" s="26" t="s">
        <v>64</v>
      </c>
      <c r="H106" s="13">
        <v>-0.03183084659075846</v>
      </c>
      <c r="I106" s="1">
        <v>105.0</v>
      </c>
    </row>
    <row r="107">
      <c r="A107" s="26" t="s">
        <v>89</v>
      </c>
      <c r="B107" s="13">
        <v>0.08715444555444542</v>
      </c>
      <c r="C107" s="1">
        <v>106.0</v>
      </c>
      <c r="D107" s="9">
        <f t="shared" si="1"/>
        <v>114</v>
      </c>
      <c r="E107" s="9">
        <f t="shared" si="2"/>
        <v>-8</v>
      </c>
      <c r="F107" s="26"/>
      <c r="G107" s="26" t="s">
        <v>145</v>
      </c>
      <c r="H107" s="13">
        <v>-0.032098400961398134</v>
      </c>
      <c r="I107" s="1">
        <v>106.0</v>
      </c>
    </row>
    <row r="108">
      <c r="A108" s="26" t="s">
        <v>131</v>
      </c>
      <c r="B108" s="13">
        <v>0.08768132963988913</v>
      </c>
      <c r="C108" s="1">
        <v>107.0</v>
      </c>
      <c r="D108" s="9">
        <f t="shared" si="1"/>
        <v>60</v>
      </c>
      <c r="E108" s="9">
        <f t="shared" si="2"/>
        <v>47</v>
      </c>
      <c r="F108" s="26"/>
      <c r="G108" s="26" t="s">
        <v>120</v>
      </c>
      <c r="H108" s="13">
        <v>-0.03252061605140108</v>
      </c>
      <c r="I108" s="1">
        <v>107.0</v>
      </c>
    </row>
    <row r="109">
      <c r="A109" s="26" t="s">
        <v>127</v>
      </c>
      <c r="B109" s="13">
        <v>0.08796996443830399</v>
      </c>
      <c r="C109" s="1">
        <v>108.0</v>
      </c>
      <c r="D109" s="9">
        <f t="shared" si="1"/>
        <v>111</v>
      </c>
      <c r="E109" s="9">
        <f t="shared" si="2"/>
        <v>-3</v>
      </c>
      <c r="F109" s="26"/>
      <c r="G109" s="26" t="s">
        <v>140</v>
      </c>
      <c r="H109" s="13">
        <v>-0.03252463686521561</v>
      </c>
      <c r="I109" s="1">
        <v>108.0</v>
      </c>
    </row>
    <row r="110">
      <c r="A110" s="26" t="s">
        <v>171</v>
      </c>
      <c r="B110" s="13">
        <v>0.08905792172739534</v>
      </c>
      <c r="C110" s="1">
        <v>109.0</v>
      </c>
      <c r="D110" s="9">
        <f t="shared" si="1"/>
        <v>72</v>
      </c>
      <c r="E110" s="9">
        <f t="shared" si="2"/>
        <v>37</v>
      </c>
      <c r="F110" s="26"/>
      <c r="G110" s="26" t="s">
        <v>116</v>
      </c>
      <c r="H110" s="13">
        <v>-0.033212029816134386</v>
      </c>
      <c r="I110" s="1">
        <v>109.0</v>
      </c>
    </row>
    <row r="111">
      <c r="A111" s="26" t="s">
        <v>134</v>
      </c>
      <c r="B111" s="13">
        <v>0.08935788564107121</v>
      </c>
      <c r="C111" s="1">
        <v>110.0</v>
      </c>
      <c r="D111" s="9">
        <f t="shared" si="1"/>
        <v>137</v>
      </c>
      <c r="E111" s="9">
        <f t="shared" si="2"/>
        <v>-27</v>
      </c>
      <c r="F111" s="26"/>
      <c r="G111" s="26" t="s">
        <v>152</v>
      </c>
      <c r="H111" s="13">
        <v>-0.033249946783829275</v>
      </c>
      <c r="I111" s="1">
        <v>110.0</v>
      </c>
    </row>
    <row r="112">
      <c r="A112" s="26" t="s">
        <v>92</v>
      </c>
      <c r="B112" s="13">
        <v>0.08950645624103287</v>
      </c>
      <c r="C112" s="1">
        <v>111.0</v>
      </c>
      <c r="D112" s="9">
        <f t="shared" si="1"/>
        <v>150</v>
      </c>
      <c r="E112" s="9">
        <f t="shared" si="2"/>
        <v>-39</v>
      </c>
      <c r="F112" s="26"/>
      <c r="G112" s="26" t="s">
        <v>127</v>
      </c>
      <c r="H112" s="13">
        <v>-0.0336943338781601</v>
      </c>
      <c r="I112" s="1">
        <v>111.0</v>
      </c>
    </row>
    <row r="113">
      <c r="A113" s="26" t="s">
        <v>146</v>
      </c>
      <c r="B113" s="13">
        <v>0.08968277356446343</v>
      </c>
      <c r="C113" s="1">
        <v>112.0</v>
      </c>
      <c r="D113" s="9">
        <f t="shared" si="1"/>
        <v>77</v>
      </c>
      <c r="E113" s="9">
        <f t="shared" si="2"/>
        <v>35</v>
      </c>
      <c r="F113" s="26"/>
      <c r="G113" s="26" t="s">
        <v>184</v>
      </c>
      <c r="H113" s="13">
        <v>-0.03456455132025759</v>
      </c>
      <c r="I113" s="1">
        <v>112.0</v>
      </c>
    </row>
    <row r="114">
      <c r="A114" s="26" t="s">
        <v>123</v>
      </c>
      <c r="B114" s="13">
        <v>0.09127785454731531</v>
      </c>
      <c r="C114" s="1">
        <v>113.0</v>
      </c>
      <c r="D114" s="9">
        <f t="shared" si="1"/>
        <v>96</v>
      </c>
      <c r="E114" s="9">
        <f t="shared" si="2"/>
        <v>17</v>
      </c>
      <c r="F114" s="26"/>
      <c r="G114" s="26" t="s">
        <v>117</v>
      </c>
      <c r="H114" s="13">
        <v>-0.03502005645274917</v>
      </c>
      <c r="I114" s="1">
        <v>113.0</v>
      </c>
    </row>
    <row r="115">
      <c r="A115" s="26" t="s">
        <v>145</v>
      </c>
      <c r="B115" s="13">
        <v>0.09231139655952907</v>
      </c>
      <c r="C115" s="1">
        <v>114.0</v>
      </c>
      <c r="D115" s="9">
        <f t="shared" si="1"/>
        <v>106</v>
      </c>
      <c r="E115" s="9">
        <f t="shared" si="2"/>
        <v>8</v>
      </c>
      <c r="F115" s="26"/>
      <c r="G115" s="26" t="s">
        <v>89</v>
      </c>
      <c r="H115" s="13">
        <v>-0.035166492846844824</v>
      </c>
      <c r="I115" s="1">
        <v>114.0</v>
      </c>
    </row>
    <row r="116">
      <c r="A116" s="26" t="s">
        <v>111</v>
      </c>
      <c r="B116" s="13">
        <v>0.09352877648667089</v>
      </c>
      <c r="C116" s="1">
        <v>115.0</v>
      </c>
      <c r="D116" s="9">
        <f t="shared" si="1"/>
        <v>67</v>
      </c>
      <c r="E116" s="9">
        <f t="shared" si="2"/>
        <v>48</v>
      </c>
      <c r="F116" s="26"/>
      <c r="G116" s="26" t="s">
        <v>82</v>
      </c>
      <c r="H116" s="13">
        <v>-0.03610682579695302</v>
      </c>
      <c r="I116" s="1">
        <v>115.0</v>
      </c>
    </row>
    <row r="117">
      <c r="A117" s="26" t="s">
        <v>156</v>
      </c>
      <c r="B117" s="13">
        <v>0.09478774529435305</v>
      </c>
      <c r="C117" s="1">
        <v>116.0</v>
      </c>
      <c r="D117" s="9">
        <f t="shared" si="1"/>
        <v>130</v>
      </c>
      <c r="E117" s="9">
        <f t="shared" si="2"/>
        <v>-14</v>
      </c>
      <c r="F117" s="26"/>
      <c r="G117" s="26" t="s">
        <v>165</v>
      </c>
      <c r="H117" s="13">
        <v>-0.03670594115215506</v>
      </c>
      <c r="I117" s="1">
        <v>116.0</v>
      </c>
    </row>
    <row r="118">
      <c r="A118" s="26" t="s">
        <v>129</v>
      </c>
      <c r="B118" s="13">
        <v>0.09821383177570062</v>
      </c>
      <c r="C118" s="1">
        <v>117.0</v>
      </c>
      <c r="D118" s="9">
        <f t="shared" si="1"/>
        <v>88</v>
      </c>
      <c r="E118" s="9">
        <f t="shared" si="2"/>
        <v>29</v>
      </c>
      <c r="F118" s="26"/>
      <c r="G118" s="26" t="s">
        <v>142</v>
      </c>
      <c r="H118" s="13">
        <v>-0.03721586942583656</v>
      </c>
      <c r="I118" s="1">
        <v>117.0</v>
      </c>
    </row>
    <row r="119">
      <c r="A119" s="26" t="s">
        <v>155</v>
      </c>
      <c r="B119" s="13">
        <v>0.09853601204261221</v>
      </c>
      <c r="C119" s="1">
        <v>118.0</v>
      </c>
      <c r="D119" s="9">
        <f t="shared" si="1"/>
        <v>132</v>
      </c>
      <c r="E119" s="9">
        <f t="shared" si="2"/>
        <v>-14</v>
      </c>
      <c r="F119" s="26"/>
      <c r="G119" s="26" t="s">
        <v>103</v>
      </c>
      <c r="H119" s="13">
        <v>-0.037935221870414204</v>
      </c>
      <c r="I119" s="1">
        <v>118.0</v>
      </c>
    </row>
    <row r="120">
      <c r="A120" s="26" t="s">
        <v>177</v>
      </c>
      <c r="B120" s="13">
        <v>0.0991018472391048</v>
      </c>
      <c r="C120" s="1">
        <v>119.0</v>
      </c>
      <c r="D120" s="9">
        <f t="shared" si="1"/>
        <v>87</v>
      </c>
      <c r="E120" s="9">
        <f t="shared" si="2"/>
        <v>32</v>
      </c>
      <c r="F120" s="26"/>
      <c r="G120" s="26" t="s">
        <v>170</v>
      </c>
      <c r="H120" s="13">
        <v>-0.03922166550065141</v>
      </c>
      <c r="I120" s="1">
        <v>119.0</v>
      </c>
    </row>
    <row r="121">
      <c r="A121" s="26" t="s">
        <v>151</v>
      </c>
      <c r="B121" s="13">
        <v>0.0994643874643872</v>
      </c>
      <c r="C121" s="1">
        <v>120.0</v>
      </c>
      <c r="D121" s="9">
        <f t="shared" si="1"/>
        <v>143</v>
      </c>
      <c r="E121" s="9">
        <f t="shared" si="2"/>
        <v>-23</v>
      </c>
      <c r="F121" s="26"/>
      <c r="G121" s="26" t="s">
        <v>80</v>
      </c>
      <c r="H121" s="13">
        <v>-0.0396845719050083</v>
      </c>
      <c r="I121" s="1">
        <v>120.0</v>
      </c>
    </row>
    <row r="122">
      <c r="A122" s="26" t="s">
        <v>175</v>
      </c>
      <c r="B122" s="13">
        <v>0.10217720098926576</v>
      </c>
      <c r="C122" s="1">
        <v>121.0</v>
      </c>
      <c r="D122" s="9">
        <f t="shared" si="1"/>
        <v>104</v>
      </c>
      <c r="E122" s="9">
        <f t="shared" si="2"/>
        <v>17</v>
      </c>
      <c r="F122" s="26"/>
      <c r="G122" s="26" t="s">
        <v>179</v>
      </c>
      <c r="H122" s="13">
        <v>-0.040183445364883705</v>
      </c>
      <c r="I122" s="1">
        <v>121.0</v>
      </c>
    </row>
    <row r="123">
      <c r="A123" s="26" t="s">
        <v>162</v>
      </c>
      <c r="B123" s="13">
        <v>0.10263264645592819</v>
      </c>
      <c r="C123" s="1">
        <v>122.0</v>
      </c>
      <c r="D123" s="9">
        <f t="shared" si="1"/>
        <v>138</v>
      </c>
      <c r="E123" s="9">
        <f t="shared" si="2"/>
        <v>-16</v>
      </c>
      <c r="F123" s="26"/>
      <c r="G123" s="26" t="s">
        <v>167</v>
      </c>
      <c r="H123" s="13">
        <v>-0.04147384013332951</v>
      </c>
      <c r="I123" s="1">
        <v>122.0</v>
      </c>
    </row>
    <row r="124">
      <c r="A124" s="26" t="s">
        <v>158</v>
      </c>
      <c r="B124" s="13">
        <v>0.10267415178571408</v>
      </c>
      <c r="C124" s="1">
        <v>123.0</v>
      </c>
      <c r="D124" s="9">
        <f t="shared" si="1"/>
        <v>98</v>
      </c>
      <c r="E124" s="9">
        <f t="shared" si="2"/>
        <v>25</v>
      </c>
      <c r="F124" s="26"/>
      <c r="G124" s="26" t="s">
        <v>161</v>
      </c>
      <c r="H124" s="13">
        <v>-0.04287179800737352</v>
      </c>
      <c r="I124" s="1">
        <v>123.0</v>
      </c>
    </row>
    <row r="125">
      <c r="A125" s="26" t="s">
        <v>119</v>
      </c>
      <c r="B125" s="13">
        <v>0.10288333103162528</v>
      </c>
      <c r="C125" s="1">
        <v>124.0</v>
      </c>
      <c r="D125" s="9">
        <f t="shared" si="1"/>
        <v>101</v>
      </c>
      <c r="E125" s="9">
        <f t="shared" si="2"/>
        <v>23</v>
      </c>
      <c r="F125" s="26"/>
      <c r="G125" s="26" t="s">
        <v>98</v>
      </c>
      <c r="H125" s="13">
        <v>-0.04342988928179794</v>
      </c>
      <c r="I125" s="1">
        <v>124.0</v>
      </c>
    </row>
    <row r="126">
      <c r="A126" s="26" t="s">
        <v>165</v>
      </c>
      <c r="B126" s="13">
        <v>0.10293836290526649</v>
      </c>
      <c r="C126" s="1">
        <v>125.0</v>
      </c>
      <c r="D126" s="9">
        <f t="shared" si="1"/>
        <v>116</v>
      </c>
      <c r="E126" s="9">
        <f t="shared" si="2"/>
        <v>9</v>
      </c>
      <c r="F126" s="26"/>
      <c r="G126" s="26" t="s">
        <v>164</v>
      </c>
      <c r="H126" s="13">
        <v>-0.04391421218647269</v>
      </c>
      <c r="I126" s="1">
        <v>125.0</v>
      </c>
    </row>
    <row r="127">
      <c r="A127" s="26" t="s">
        <v>169</v>
      </c>
      <c r="B127" s="13">
        <v>0.10303254385964902</v>
      </c>
      <c r="C127" s="1">
        <v>126.0</v>
      </c>
      <c r="D127" s="9">
        <f t="shared" si="1"/>
        <v>147</v>
      </c>
      <c r="E127" s="9">
        <f t="shared" si="2"/>
        <v>-21</v>
      </c>
      <c r="F127" s="26"/>
      <c r="G127" s="26" t="s">
        <v>190</v>
      </c>
      <c r="H127" s="13">
        <v>-0.0444149369473028</v>
      </c>
      <c r="I127" s="1">
        <v>126.0</v>
      </c>
    </row>
    <row r="128">
      <c r="A128" s="26" t="s">
        <v>164</v>
      </c>
      <c r="B128" s="13">
        <v>0.10361976404817666</v>
      </c>
      <c r="C128" s="1">
        <v>127.0</v>
      </c>
      <c r="D128" s="9">
        <f t="shared" si="1"/>
        <v>125</v>
      </c>
      <c r="E128" s="9">
        <f t="shared" si="2"/>
        <v>2</v>
      </c>
      <c r="F128" s="26"/>
      <c r="G128" s="26" t="s">
        <v>181</v>
      </c>
      <c r="H128" s="13">
        <v>-0.044437511113401884</v>
      </c>
      <c r="I128" s="1">
        <v>127.0</v>
      </c>
    </row>
    <row r="129">
      <c r="A129" s="26" t="s">
        <v>142</v>
      </c>
      <c r="B129" s="13">
        <v>0.10407761613489809</v>
      </c>
      <c r="C129" s="1">
        <v>128.0</v>
      </c>
      <c r="D129" s="9">
        <f t="shared" si="1"/>
        <v>117</v>
      </c>
      <c r="E129" s="9">
        <f t="shared" si="2"/>
        <v>11</v>
      </c>
      <c r="F129" s="26"/>
      <c r="G129" s="26" t="s">
        <v>176</v>
      </c>
      <c r="H129" s="13">
        <v>-0.04547392777020186</v>
      </c>
      <c r="I129" s="1">
        <v>128.0</v>
      </c>
    </row>
    <row r="130">
      <c r="A130" s="26" t="s">
        <v>184</v>
      </c>
      <c r="B130" s="13">
        <v>0.10443873355263157</v>
      </c>
      <c r="C130" s="1">
        <v>129.0</v>
      </c>
      <c r="D130" s="9">
        <f t="shared" si="1"/>
        <v>112</v>
      </c>
      <c r="E130" s="9">
        <f t="shared" si="2"/>
        <v>17</v>
      </c>
      <c r="F130" s="26"/>
      <c r="G130" s="26" t="s">
        <v>125</v>
      </c>
      <c r="H130" s="13">
        <v>-0.045586244219026274</v>
      </c>
      <c r="I130" s="1">
        <v>129.0</v>
      </c>
    </row>
    <row r="131">
      <c r="A131" s="26" t="s">
        <v>174</v>
      </c>
      <c r="B131" s="13">
        <v>0.1045242988058872</v>
      </c>
      <c r="C131" s="1">
        <v>130.0</v>
      </c>
      <c r="D131" s="9">
        <f t="shared" si="1"/>
        <v>134</v>
      </c>
      <c r="E131" s="9">
        <f t="shared" si="2"/>
        <v>-4</v>
      </c>
      <c r="F131" s="26"/>
      <c r="G131" s="26" t="s">
        <v>156</v>
      </c>
      <c r="H131" s="13">
        <v>-0.04587170034335759</v>
      </c>
      <c r="I131" s="1">
        <v>130.0</v>
      </c>
    </row>
    <row r="132">
      <c r="A132" s="26" t="s">
        <v>180</v>
      </c>
      <c r="B132" s="13">
        <v>0.10581723684210516</v>
      </c>
      <c r="C132" s="1">
        <v>131.0</v>
      </c>
      <c r="D132" s="9">
        <f t="shared" si="1"/>
        <v>151</v>
      </c>
      <c r="E132" s="9">
        <f t="shared" si="2"/>
        <v>-20</v>
      </c>
      <c r="F132" s="26"/>
      <c r="G132" s="26" t="s">
        <v>186</v>
      </c>
      <c r="H132" s="13">
        <v>-0.04629221782258487</v>
      </c>
      <c r="I132" s="1">
        <v>131.0</v>
      </c>
    </row>
    <row r="133">
      <c r="A133" s="26" t="s">
        <v>139</v>
      </c>
      <c r="B133" s="13">
        <v>0.10769746099724668</v>
      </c>
      <c r="C133" s="1">
        <v>132.0</v>
      </c>
      <c r="D133" s="9">
        <f t="shared" si="1"/>
        <v>92</v>
      </c>
      <c r="E133" s="9">
        <f t="shared" si="2"/>
        <v>40</v>
      </c>
      <c r="F133" s="26"/>
      <c r="G133" s="26" t="s">
        <v>155</v>
      </c>
      <c r="H133" s="13">
        <v>-0.04645804652502203</v>
      </c>
      <c r="I133" s="1">
        <v>132.0</v>
      </c>
    </row>
    <row r="134">
      <c r="A134" s="26" t="s">
        <v>148</v>
      </c>
      <c r="B134" s="13">
        <v>0.10911040525739298</v>
      </c>
      <c r="C134" s="1">
        <v>133.0</v>
      </c>
      <c r="D134" s="9">
        <f t="shared" si="1"/>
        <v>135</v>
      </c>
      <c r="E134" s="9">
        <f t="shared" si="2"/>
        <v>-2</v>
      </c>
      <c r="F134" s="26"/>
      <c r="G134" s="26" t="s">
        <v>121</v>
      </c>
      <c r="H134" s="13">
        <v>-0.04740167342865345</v>
      </c>
      <c r="I134" s="1">
        <v>133.0</v>
      </c>
    </row>
    <row r="135">
      <c r="A135" s="26" t="s">
        <v>170</v>
      </c>
      <c r="B135" s="13">
        <v>0.10945098284712632</v>
      </c>
      <c r="C135" s="1">
        <v>134.0</v>
      </c>
      <c r="D135" s="9">
        <f t="shared" si="1"/>
        <v>119</v>
      </c>
      <c r="E135" s="9">
        <f t="shared" si="2"/>
        <v>15</v>
      </c>
      <c r="F135" s="26"/>
      <c r="G135" s="26" t="s">
        <v>174</v>
      </c>
      <c r="H135" s="13">
        <v>-0.048056576658497614</v>
      </c>
      <c r="I135" s="1">
        <v>134.0</v>
      </c>
    </row>
    <row r="136">
      <c r="A136" s="26" t="s">
        <v>132</v>
      </c>
      <c r="B136" s="13">
        <v>0.10999807749186612</v>
      </c>
      <c r="C136" s="1">
        <v>135.0</v>
      </c>
      <c r="D136" s="9">
        <f t="shared" si="1"/>
        <v>86</v>
      </c>
      <c r="E136" s="9">
        <f t="shared" si="2"/>
        <v>49</v>
      </c>
      <c r="F136" s="26"/>
      <c r="G136" s="26" t="s">
        <v>148</v>
      </c>
      <c r="H136" s="13">
        <v>-0.04896353180453682</v>
      </c>
      <c r="I136" s="1">
        <v>135.0</v>
      </c>
    </row>
    <row r="137">
      <c r="A137" s="26" t="s">
        <v>179</v>
      </c>
      <c r="B137" s="13">
        <v>0.11333798519407738</v>
      </c>
      <c r="C137" s="1">
        <v>136.0</v>
      </c>
      <c r="D137" s="9">
        <f t="shared" si="1"/>
        <v>121</v>
      </c>
      <c r="E137" s="9">
        <f t="shared" si="2"/>
        <v>15</v>
      </c>
      <c r="F137" s="26"/>
      <c r="G137" s="26" t="s">
        <v>153</v>
      </c>
      <c r="H137" s="13">
        <v>-0.049261958669005255</v>
      </c>
      <c r="I137" s="1">
        <v>136.0</v>
      </c>
    </row>
    <row r="138">
      <c r="A138" s="26" t="s">
        <v>173</v>
      </c>
      <c r="B138" s="13">
        <v>0.11564813425199505</v>
      </c>
      <c r="C138" s="1">
        <v>137.0</v>
      </c>
      <c r="D138" s="9">
        <f t="shared" si="1"/>
        <v>94</v>
      </c>
      <c r="E138" s="9">
        <f t="shared" si="2"/>
        <v>43</v>
      </c>
      <c r="F138" s="26"/>
      <c r="G138" s="26" t="s">
        <v>134</v>
      </c>
      <c r="H138" s="13">
        <v>-0.049403127494954874</v>
      </c>
      <c r="I138" s="1">
        <v>137.0</v>
      </c>
    </row>
    <row r="139">
      <c r="A139" s="26" t="s">
        <v>167</v>
      </c>
      <c r="B139" s="13">
        <v>0.12318452020534404</v>
      </c>
      <c r="C139" s="1">
        <v>138.0</v>
      </c>
      <c r="D139" s="9">
        <f t="shared" si="1"/>
        <v>122</v>
      </c>
      <c r="E139" s="9">
        <f t="shared" si="2"/>
        <v>16</v>
      </c>
      <c r="F139" s="26"/>
      <c r="G139" s="26" t="s">
        <v>162</v>
      </c>
      <c r="H139" s="13">
        <v>-0.049405098212959804</v>
      </c>
      <c r="I139" s="1">
        <v>138.0</v>
      </c>
    </row>
    <row r="140">
      <c r="A140" s="26" t="s">
        <v>178</v>
      </c>
      <c r="B140" s="13">
        <v>0.1236169043722233</v>
      </c>
      <c r="C140" s="1">
        <v>139.0</v>
      </c>
      <c r="D140" s="9">
        <f t="shared" si="1"/>
        <v>142</v>
      </c>
      <c r="E140" s="9">
        <f t="shared" si="2"/>
        <v>-3</v>
      </c>
      <c r="F140" s="26"/>
      <c r="G140" s="26" t="s">
        <v>183</v>
      </c>
      <c r="H140" s="13">
        <v>-0.049674174528412884</v>
      </c>
      <c r="I140" s="1">
        <v>139.0</v>
      </c>
    </row>
    <row r="141">
      <c r="A141" s="26" t="s">
        <v>181</v>
      </c>
      <c r="B141" s="13">
        <v>0.12389989989989952</v>
      </c>
      <c r="C141" s="1">
        <v>140.0</v>
      </c>
      <c r="D141" s="9">
        <f t="shared" si="1"/>
        <v>127</v>
      </c>
      <c r="E141" s="9">
        <f t="shared" si="2"/>
        <v>13</v>
      </c>
      <c r="F141" s="26"/>
      <c r="G141" s="26" t="s">
        <v>74</v>
      </c>
      <c r="H141" s="13">
        <v>-0.050929793250126476</v>
      </c>
      <c r="I141" s="1">
        <v>140.0</v>
      </c>
    </row>
    <row r="142">
      <c r="A142" s="26" t="s">
        <v>168</v>
      </c>
      <c r="B142" s="13">
        <v>0.12610765583600594</v>
      </c>
      <c r="C142" s="1">
        <v>141.0</v>
      </c>
      <c r="D142" s="9">
        <f t="shared" si="1"/>
        <v>141</v>
      </c>
      <c r="E142" s="9">
        <f t="shared" si="2"/>
        <v>0</v>
      </c>
      <c r="F142" s="26"/>
      <c r="G142" s="26" t="s">
        <v>168</v>
      </c>
      <c r="H142" s="13">
        <v>-0.05202074339757879</v>
      </c>
      <c r="I142" s="1">
        <v>141.0</v>
      </c>
    </row>
    <row r="143">
      <c r="A143" s="26" t="s">
        <v>161</v>
      </c>
      <c r="B143" s="13">
        <v>0.12660415584415577</v>
      </c>
      <c r="C143" s="1">
        <v>142.0</v>
      </c>
      <c r="D143" s="9">
        <f t="shared" si="1"/>
        <v>123</v>
      </c>
      <c r="E143" s="9">
        <f t="shared" si="2"/>
        <v>19</v>
      </c>
      <c r="F143" s="26"/>
      <c r="G143" s="26" t="s">
        <v>178</v>
      </c>
      <c r="H143" s="13">
        <v>-0.0520874748591217</v>
      </c>
      <c r="I143" s="1">
        <v>142.0</v>
      </c>
    </row>
    <row r="144">
      <c r="A144" s="26" t="s">
        <v>153</v>
      </c>
      <c r="B144" s="13">
        <v>0.1272198861394508</v>
      </c>
      <c r="C144" s="1">
        <v>143.0</v>
      </c>
      <c r="D144" s="9">
        <f t="shared" si="1"/>
        <v>136</v>
      </c>
      <c r="E144" s="9">
        <f t="shared" si="2"/>
        <v>7</v>
      </c>
      <c r="F144" s="26"/>
      <c r="G144" s="26" t="s">
        <v>151</v>
      </c>
      <c r="H144" s="13">
        <v>-0.053812675136863955</v>
      </c>
      <c r="I144" s="1">
        <v>143.0</v>
      </c>
    </row>
    <row r="145">
      <c r="A145" s="26" t="s">
        <v>176</v>
      </c>
      <c r="B145" s="13">
        <v>0.134072665992585</v>
      </c>
      <c r="C145" s="1">
        <v>144.0</v>
      </c>
      <c r="D145" s="9">
        <f t="shared" si="1"/>
        <v>128</v>
      </c>
      <c r="E145" s="9">
        <f t="shared" si="2"/>
        <v>16</v>
      </c>
      <c r="F145" s="26"/>
      <c r="G145" s="26" t="s">
        <v>185</v>
      </c>
      <c r="H145" s="13">
        <v>-0.054028187228162286</v>
      </c>
      <c r="I145" s="1">
        <v>144.0</v>
      </c>
    </row>
    <row r="146">
      <c r="A146" s="26" t="s">
        <v>186</v>
      </c>
      <c r="B146" s="13">
        <v>0.13490090090090073</v>
      </c>
      <c r="C146" s="1">
        <v>145.0</v>
      </c>
      <c r="D146" s="9">
        <f t="shared" si="1"/>
        <v>131</v>
      </c>
      <c r="E146" s="9">
        <f t="shared" si="2"/>
        <v>14</v>
      </c>
      <c r="F146" s="26"/>
      <c r="G146" s="26" t="s">
        <v>166</v>
      </c>
      <c r="H146" s="13">
        <v>-0.05566003161804991</v>
      </c>
      <c r="I146" s="1">
        <v>145.0</v>
      </c>
    </row>
    <row r="147">
      <c r="A147" s="26" t="s">
        <v>166</v>
      </c>
      <c r="B147" s="13">
        <v>0.138202921884317</v>
      </c>
      <c r="C147" s="1">
        <v>146.0</v>
      </c>
      <c r="D147" s="9">
        <f t="shared" si="1"/>
        <v>145</v>
      </c>
      <c r="E147" s="9">
        <f t="shared" si="2"/>
        <v>1</v>
      </c>
      <c r="F147" s="26"/>
      <c r="G147" s="26" t="s">
        <v>187</v>
      </c>
      <c r="H147" s="13">
        <v>-0.058088739275565265</v>
      </c>
      <c r="I147" s="1">
        <v>146.0</v>
      </c>
    </row>
    <row r="148">
      <c r="A148" s="26" t="s">
        <v>187</v>
      </c>
      <c r="B148" s="13">
        <v>0.14553014305955425</v>
      </c>
      <c r="C148" s="1">
        <v>147.0</v>
      </c>
      <c r="D148" s="9">
        <f t="shared" si="1"/>
        <v>146</v>
      </c>
      <c r="E148" s="9">
        <f t="shared" si="2"/>
        <v>1</v>
      </c>
      <c r="F148" s="26"/>
      <c r="G148" s="26" t="s">
        <v>169</v>
      </c>
      <c r="H148" s="13">
        <v>-0.05888005798858527</v>
      </c>
      <c r="I148" s="1">
        <v>147.0</v>
      </c>
    </row>
    <row r="149">
      <c r="A149" s="26" t="s">
        <v>182</v>
      </c>
      <c r="B149" s="13">
        <v>0.17035726825842698</v>
      </c>
      <c r="C149" s="1">
        <v>148.0</v>
      </c>
      <c r="D149" s="9">
        <f t="shared" si="1"/>
        <v>152</v>
      </c>
      <c r="E149" s="9">
        <f t="shared" si="2"/>
        <v>-4</v>
      </c>
      <c r="F149" s="26"/>
      <c r="G149" s="26" t="s">
        <v>188</v>
      </c>
      <c r="H149" s="13">
        <v>-0.05901749606775635</v>
      </c>
      <c r="I149" s="1">
        <v>148.0</v>
      </c>
    </row>
    <row r="150">
      <c r="A150" s="26" t="s">
        <v>185</v>
      </c>
      <c r="B150" s="13">
        <v>0.17555516782984357</v>
      </c>
      <c r="C150" s="1">
        <v>149.0</v>
      </c>
      <c r="D150" s="9">
        <f t="shared" si="1"/>
        <v>144</v>
      </c>
      <c r="E150" s="9">
        <f t="shared" si="2"/>
        <v>5</v>
      </c>
      <c r="F150" s="26"/>
      <c r="G150" s="26" t="s">
        <v>163</v>
      </c>
      <c r="H150" s="13">
        <v>-0.06212263896821558</v>
      </c>
      <c r="I150" s="1">
        <v>149.0</v>
      </c>
    </row>
    <row r="151">
      <c r="A151" s="26" t="s">
        <v>190</v>
      </c>
      <c r="B151" s="13">
        <v>0.18037837837837775</v>
      </c>
      <c r="C151" s="1">
        <v>150.0</v>
      </c>
      <c r="D151" s="9">
        <f t="shared" si="1"/>
        <v>126</v>
      </c>
      <c r="E151" s="9">
        <f t="shared" si="2"/>
        <v>24</v>
      </c>
      <c r="F151" s="26"/>
      <c r="G151" s="26" t="s">
        <v>92</v>
      </c>
      <c r="H151" s="13">
        <v>-0.06645855853023493</v>
      </c>
      <c r="I151" s="1">
        <v>150.0</v>
      </c>
    </row>
    <row r="152">
      <c r="A152" s="26" t="s">
        <v>183</v>
      </c>
      <c r="B152" s="13">
        <v>0.18742136248948676</v>
      </c>
      <c r="C152" s="1">
        <v>151.0</v>
      </c>
      <c r="D152" s="9">
        <f t="shared" si="1"/>
        <v>139</v>
      </c>
      <c r="E152" s="9">
        <f t="shared" si="2"/>
        <v>12</v>
      </c>
      <c r="F152" s="26"/>
      <c r="G152" s="26" t="s">
        <v>180</v>
      </c>
      <c r="H152" s="13">
        <v>-0.07381027690209997</v>
      </c>
      <c r="I152" s="1">
        <v>151.0</v>
      </c>
    </row>
    <row r="153">
      <c r="A153" s="26" t="s">
        <v>188</v>
      </c>
      <c r="B153" s="13">
        <v>0.19816969310820784</v>
      </c>
      <c r="C153" s="1">
        <v>152.0</v>
      </c>
      <c r="D153" s="9">
        <f t="shared" si="1"/>
        <v>148</v>
      </c>
      <c r="E153" s="9">
        <f t="shared" si="2"/>
        <v>4</v>
      </c>
      <c r="F153" s="26"/>
      <c r="G153" s="26" t="s">
        <v>182</v>
      </c>
      <c r="H153" s="13">
        <v>-0.07895617099293568</v>
      </c>
      <c r="I153" s="1">
        <v>152.0</v>
      </c>
    </row>
    <row r="154">
      <c r="A154" s="26" t="s">
        <v>189</v>
      </c>
      <c r="B154" s="13">
        <v>0.20068492426910836</v>
      </c>
      <c r="C154" s="1">
        <v>153.0</v>
      </c>
      <c r="D154" s="9">
        <f t="shared" si="1"/>
        <v>153</v>
      </c>
      <c r="E154" s="9">
        <f t="shared" si="2"/>
        <v>0</v>
      </c>
      <c r="F154" s="26"/>
      <c r="G154" s="26" t="s">
        <v>189</v>
      </c>
      <c r="H154" s="13">
        <v>-0.079592198364362</v>
      </c>
      <c r="I154" s="1">
        <v>153.0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14" max="14" width="30.75"/>
  </cols>
  <sheetData>
    <row r="1">
      <c r="A1" s="26"/>
      <c r="B1" s="1" t="s">
        <v>194</v>
      </c>
      <c r="C1" s="1" t="s">
        <v>195</v>
      </c>
      <c r="D1" s="1" t="s">
        <v>196</v>
      </c>
      <c r="E1" s="1" t="s">
        <v>197</v>
      </c>
      <c r="G1" s="1" t="s">
        <v>194</v>
      </c>
      <c r="H1" s="1" t="s">
        <v>195</v>
      </c>
      <c r="I1" s="1" t="s">
        <v>196</v>
      </c>
      <c r="J1" s="1" t="s">
        <v>197</v>
      </c>
      <c r="L1" s="1" t="s">
        <v>199</v>
      </c>
      <c r="N1" s="27" t="s">
        <v>0</v>
      </c>
      <c r="O1" s="1" t="s">
        <v>199</v>
      </c>
    </row>
    <row r="2">
      <c r="A2" s="26" t="s">
        <v>133</v>
      </c>
      <c r="B2" s="13">
        <f>VLOOKUP($A2,'PW k=2'!$A$2:$D$154,4,0)</f>
        <v>-0.01751514009</v>
      </c>
      <c r="C2" s="13">
        <f>VLOOKUP($A2,'PW k=3'!$A$2:$D$154,4,0)</f>
        <v>-0.02249027584</v>
      </c>
      <c r="D2" s="13">
        <f>VLOOKUP($A2,'PW k=4'!$A$2:$D$154,4,0)</f>
        <v>0.03163692722</v>
      </c>
      <c r="E2" s="13">
        <f>VLOOKUP($A2,'PW k=5'!$A$2:$D$154,4,0)</f>
        <v>0.03049010668</v>
      </c>
      <c r="G2" s="9">
        <f>VLOOKUP($A2,'PW k=2'!$A$2:$D$154,2,0)</f>
        <v>654</v>
      </c>
      <c r="H2" s="9">
        <f>VLOOKUP($A2,'PW k=3'!$A$2:$D$154,2,0)</f>
        <v>287</v>
      </c>
      <c r="I2" s="9">
        <f>VLOOKUP($A2,'PW k=4'!$A$2:$D$154,2,0)</f>
        <v>128</v>
      </c>
      <c r="J2" s="9">
        <f>VLOOKUP($A2,'PW k=5'!$A$2:$D$154,2,0)</f>
        <v>61</v>
      </c>
      <c r="L2" s="13">
        <f t="shared" ref="L2:L154" si="1">SUMPRODUCT(B2:E2,G2:J2)/sum(G2:J2)</f>
        <v>-0.01061963504</v>
      </c>
      <c r="N2" s="26" t="s">
        <v>93</v>
      </c>
      <c r="O2" s="13">
        <v>0.055864365927700645</v>
      </c>
    </row>
    <row r="3">
      <c r="A3" s="26" t="s">
        <v>171</v>
      </c>
      <c r="B3" s="13">
        <f>VLOOKUP($A3,'PW k=2'!$A$2:$D$154,4,0)</f>
        <v>-0.010173571</v>
      </c>
      <c r="C3" s="13">
        <f>VLOOKUP($A3,'PW k=3'!$A$2:$D$154,4,0)</f>
        <v>-0.01716216902</v>
      </c>
      <c r="D3" s="13">
        <f>VLOOKUP($A3,'PW k=4'!$A$2:$D$154,4,0)</f>
        <v>-0.04307601957</v>
      </c>
      <c r="E3" s="13">
        <f>VLOOKUP($A3,'PW k=5'!$A$2:$D$154,4,0)</f>
        <v>0.08321410736</v>
      </c>
      <c r="G3" s="9">
        <f>VLOOKUP($A3,'PW k=2'!$A$2:$D$154,2,0)</f>
        <v>306</v>
      </c>
      <c r="H3" s="9">
        <f>VLOOKUP($A3,'PW k=3'!$A$2:$D$154,2,0)</f>
        <v>113</v>
      </c>
      <c r="I3" s="9">
        <f>VLOOKUP($A3,'PW k=4'!$A$2:$D$154,2,0)</f>
        <v>38</v>
      </c>
      <c r="J3" s="9">
        <f>VLOOKUP($A3,'PW k=5'!$A$2:$D$154,2,0)</f>
        <v>12</v>
      </c>
      <c r="L3" s="13">
        <f t="shared" si="1"/>
        <v>-0.01213381084</v>
      </c>
      <c r="N3" s="26" t="s">
        <v>50</v>
      </c>
      <c r="O3" s="13">
        <v>0.03963974657925136</v>
      </c>
    </row>
    <row r="4">
      <c r="A4" s="26" t="s">
        <v>30</v>
      </c>
      <c r="B4" s="13">
        <f>VLOOKUP($A4,'PW k=2'!$A$2:$D$154,4,0)</f>
        <v>0.02283468995</v>
      </c>
      <c r="C4" s="13">
        <f>VLOOKUP($A4,'PW k=3'!$A$2:$D$154,4,0)</f>
        <v>0.0129258934</v>
      </c>
      <c r="D4" s="13">
        <f>VLOOKUP($A4,'PW k=4'!$A$2:$D$154,4,0)</f>
        <v>0.0109559133</v>
      </c>
      <c r="E4" s="13">
        <f>VLOOKUP($A4,'PW k=5'!$A$2:$D$154,4,0)</f>
        <v>-0.02555293607</v>
      </c>
      <c r="G4" s="9">
        <f>VLOOKUP($A4,'PW k=2'!$A$2:$D$154,2,0)</f>
        <v>677</v>
      </c>
      <c r="H4" s="9">
        <f>VLOOKUP($A4,'PW k=3'!$A$2:$D$154,2,0)</f>
        <v>316</v>
      </c>
      <c r="I4" s="9">
        <f>VLOOKUP($A4,'PW k=4'!$A$2:$D$154,2,0)</f>
        <v>147</v>
      </c>
      <c r="J4" s="9">
        <f>VLOOKUP($A4,'PW k=5'!$A$2:$D$154,2,0)</f>
        <v>69</v>
      </c>
      <c r="L4" s="13">
        <f t="shared" si="1"/>
        <v>0.01603890329</v>
      </c>
      <c r="N4" s="26" t="s">
        <v>14</v>
      </c>
      <c r="O4" s="13">
        <v>0.03435757523044011</v>
      </c>
    </row>
    <row r="5">
      <c r="A5" s="26" t="s">
        <v>69</v>
      </c>
      <c r="B5" s="13">
        <f>VLOOKUP($A5,'PW k=2'!$A$2:$D$154,4,0)</f>
        <v>-0.01550567808</v>
      </c>
      <c r="C5" s="13">
        <f>VLOOKUP($A5,'PW k=3'!$A$2:$D$154,4,0)</f>
        <v>-0.005112055116</v>
      </c>
      <c r="D5" s="13">
        <f>VLOOKUP($A5,'PW k=4'!$A$2:$D$154,4,0)</f>
        <v>-0.07109790148</v>
      </c>
      <c r="E5" s="13">
        <f>VLOOKUP($A5,'PW k=5'!$A$2:$D$154,4,0)</f>
        <v>-0.1406970317</v>
      </c>
      <c r="G5" s="9">
        <f>VLOOKUP($A5,'PW k=2'!$A$2:$D$154,2,0)</f>
        <v>458</v>
      </c>
      <c r="H5" s="9">
        <f>VLOOKUP($A5,'PW k=3'!$A$2:$D$154,2,0)</f>
        <v>193</v>
      </c>
      <c r="I5" s="9">
        <f>VLOOKUP($A5,'PW k=4'!$A$2:$D$154,2,0)</f>
        <v>84</v>
      </c>
      <c r="J5" s="9">
        <f>VLOOKUP($A5,'PW k=5'!$A$2:$D$154,2,0)</f>
        <v>29</v>
      </c>
      <c r="L5" s="13">
        <f t="shared" si="1"/>
        <v>-0.02374432571</v>
      </c>
      <c r="N5" s="26" t="s">
        <v>42</v>
      </c>
      <c r="O5" s="13">
        <v>0.025767561659866687</v>
      </c>
    </row>
    <row r="6">
      <c r="A6" s="26" t="s">
        <v>186</v>
      </c>
      <c r="B6" s="13">
        <f>VLOOKUP($A6,'PW k=2'!$A$2:$D$154,4,0)</f>
        <v>-0.04786609873</v>
      </c>
      <c r="C6" s="13">
        <f>VLOOKUP($A6,'PW k=3'!$A$2:$D$154,4,0)</f>
        <v>-0.05020039506</v>
      </c>
      <c r="D6" s="13">
        <f>VLOOKUP($A6,'PW k=4'!$A$2:$D$154,4,0)</f>
        <v>-0.04228695896</v>
      </c>
      <c r="E6" s="13">
        <f>VLOOKUP($A6,'PW k=5'!$A$2:$D$154,4,0)</f>
        <v>0.01857814861</v>
      </c>
      <c r="G6" s="9">
        <f>VLOOKUP($A6,'PW k=2'!$A$2:$D$154,2,0)</f>
        <v>395</v>
      </c>
      <c r="H6" s="9">
        <f>VLOOKUP($A6,'PW k=3'!$A$2:$D$154,2,0)</f>
        <v>135</v>
      </c>
      <c r="I6" s="9">
        <f>VLOOKUP($A6,'PW k=4'!$A$2:$D$154,2,0)</f>
        <v>44</v>
      </c>
      <c r="J6" s="9">
        <f>VLOOKUP($A6,'PW k=5'!$A$2:$D$154,2,0)</f>
        <v>15</v>
      </c>
      <c r="L6" s="13">
        <f t="shared" si="1"/>
        <v>-0.04629221782</v>
      </c>
      <c r="N6" s="26" t="s">
        <v>38</v>
      </c>
      <c r="O6" s="13">
        <v>0.023481118711790473</v>
      </c>
    </row>
    <row r="7">
      <c r="A7" s="26" t="s">
        <v>174</v>
      </c>
      <c r="B7" s="13">
        <f>VLOOKUP($A7,'PW k=2'!$A$2:$D$154,4,0)</f>
        <v>-0.04383455207</v>
      </c>
      <c r="C7" s="13">
        <f>VLOOKUP($A7,'PW k=3'!$A$2:$D$154,4,0)</f>
        <v>-0.05192875458</v>
      </c>
      <c r="D7" s="13">
        <f>VLOOKUP($A7,'PW k=4'!$A$2:$D$154,4,0)</f>
        <v>-0.05844042779</v>
      </c>
      <c r="E7" s="13">
        <f>VLOOKUP($A7,'PW k=5'!$A$2:$D$154,4,0)</f>
        <v>-0.09129890116</v>
      </c>
      <c r="G7" s="9">
        <f>VLOOKUP($A7,'PW k=2'!$A$2:$D$154,2,0)</f>
        <v>478</v>
      </c>
      <c r="H7" s="9">
        <f>VLOOKUP($A7,'PW k=3'!$A$2:$D$154,2,0)</f>
        <v>170</v>
      </c>
      <c r="I7" s="9">
        <f>VLOOKUP($A7,'PW k=4'!$A$2:$D$154,2,0)</f>
        <v>56</v>
      </c>
      <c r="J7" s="9">
        <f>VLOOKUP($A7,'PW k=5'!$A$2:$D$154,2,0)</f>
        <v>18</v>
      </c>
      <c r="L7" s="13">
        <f t="shared" si="1"/>
        <v>-0.04805657666</v>
      </c>
      <c r="N7" s="26" t="s">
        <v>85</v>
      </c>
      <c r="O7" s="13">
        <v>0.02186780126827709</v>
      </c>
    </row>
    <row r="8">
      <c r="A8" s="26" t="s">
        <v>159</v>
      </c>
      <c r="B8" s="13">
        <f>VLOOKUP($A8,'PW k=2'!$A$2:$D$154,4,0)</f>
        <v>-0.00960872361</v>
      </c>
      <c r="C8" s="13">
        <f>VLOOKUP($A8,'PW k=3'!$A$2:$D$154,4,0)</f>
        <v>0.04742878974</v>
      </c>
      <c r="D8" s="13">
        <f>VLOOKUP($A8,'PW k=4'!$A$2:$D$154,4,0)</f>
        <v>-0.003332198167</v>
      </c>
      <c r="E8" s="13">
        <f>VLOOKUP($A8,'PW k=5'!$A$2:$D$154,4,0)</f>
        <v>0.04914499059</v>
      </c>
      <c r="G8" s="9">
        <f>VLOOKUP($A8,'PW k=2'!$A$2:$D$154,2,0)</f>
        <v>339</v>
      </c>
      <c r="H8" s="9">
        <f>VLOOKUP($A8,'PW k=3'!$A$2:$D$154,2,0)</f>
        <v>121</v>
      </c>
      <c r="I8" s="9">
        <f>VLOOKUP($A8,'PW k=4'!$A$2:$D$154,2,0)</f>
        <v>44</v>
      </c>
      <c r="J8" s="9">
        <f>VLOOKUP($A8,'PW k=5'!$A$2:$D$154,2,0)</f>
        <v>15</v>
      </c>
      <c r="L8" s="13">
        <f t="shared" si="1"/>
        <v>0.005919237754</v>
      </c>
      <c r="N8" s="26" t="s">
        <v>22</v>
      </c>
      <c r="O8" s="13">
        <v>0.019478469860693248</v>
      </c>
    </row>
    <row r="9">
      <c r="A9" s="26" t="s">
        <v>126</v>
      </c>
      <c r="B9" s="13">
        <f>VLOOKUP($A9,'PW k=2'!$A$2:$D$154,4,0)</f>
        <v>-0.006426476429</v>
      </c>
      <c r="C9" s="13">
        <f>VLOOKUP($A9,'PW k=3'!$A$2:$D$154,4,0)</f>
        <v>0.004760980318</v>
      </c>
      <c r="D9" s="13">
        <f>VLOOKUP($A9,'PW k=4'!$A$2:$D$154,4,0)</f>
        <v>-0.04007118069</v>
      </c>
      <c r="E9" s="13">
        <f>VLOOKUP($A9,'PW k=5'!$A$2:$D$154,4,0)</f>
        <v>-0.09480197382</v>
      </c>
      <c r="G9" s="9">
        <f>VLOOKUP($A9,'PW k=2'!$A$2:$D$154,2,0)</f>
        <v>618</v>
      </c>
      <c r="H9" s="9">
        <f>VLOOKUP($A9,'PW k=3'!$A$2:$D$154,2,0)</f>
        <v>265</v>
      </c>
      <c r="I9" s="9">
        <f>VLOOKUP($A9,'PW k=4'!$A$2:$D$154,2,0)</f>
        <v>120</v>
      </c>
      <c r="J9" s="9">
        <f>VLOOKUP($A9,'PW k=5'!$A$2:$D$154,2,0)</f>
        <v>50</v>
      </c>
      <c r="L9" s="13">
        <f t="shared" si="1"/>
        <v>-0.01164154133</v>
      </c>
      <c r="N9" s="26" t="s">
        <v>72</v>
      </c>
      <c r="O9" s="13">
        <v>0.018508387021273266</v>
      </c>
    </row>
    <row r="10">
      <c r="A10" s="26" t="s">
        <v>112</v>
      </c>
      <c r="B10" s="13">
        <f>VLOOKUP($A10,'PW k=2'!$A$2:$D$154,4,0)</f>
        <v>-0.02153489244</v>
      </c>
      <c r="C10" s="13">
        <f>VLOOKUP($A10,'PW k=3'!$A$2:$D$154,4,0)</f>
        <v>0.00575817293</v>
      </c>
      <c r="D10" s="13">
        <f>VLOOKUP($A10,'PW k=4'!$A$2:$D$154,4,0)</f>
        <v>0.1471286099</v>
      </c>
      <c r="E10" s="13">
        <f>VLOOKUP($A10,'PW k=5'!$A$2:$D$154,4,0)</f>
        <v>0.1431657354</v>
      </c>
      <c r="G10" s="9">
        <f>VLOOKUP($A10,'PW k=2'!$A$2:$D$154,2,0)</f>
        <v>313</v>
      </c>
      <c r="H10" s="9">
        <f>VLOOKUP($A10,'PW k=3'!$A$2:$D$154,2,0)</f>
        <v>105</v>
      </c>
      <c r="I10" s="9">
        <f>VLOOKUP($A10,'PW k=4'!$A$2:$D$154,2,0)</f>
        <v>37</v>
      </c>
      <c r="J10" s="9">
        <f>VLOOKUP($A10,'PW k=5'!$A$2:$D$154,2,0)</f>
        <v>18</v>
      </c>
      <c r="L10" s="13">
        <f t="shared" si="1"/>
        <v>0.003985049947</v>
      </c>
      <c r="N10" s="26" t="s">
        <v>83</v>
      </c>
      <c r="O10" s="13">
        <v>0.016299131964853265</v>
      </c>
    </row>
    <row r="11">
      <c r="A11" s="26" t="s">
        <v>185</v>
      </c>
      <c r="B11" s="13">
        <f>VLOOKUP($A11,'PW k=2'!$A$2:$D$154,4,0)</f>
        <v>-0.04205016734</v>
      </c>
      <c r="C11" s="13">
        <f>VLOOKUP($A11,'PW k=3'!$A$2:$D$154,4,0)</f>
        <v>-0.06303685969</v>
      </c>
      <c r="D11" s="13">
        <f>VLOOKUP($A11,'PW k=4'!$A$2:$D$154,4,0)</f>
        <v>-0.07612131193</v>
      </c>
      <c r="E11" s="13">
        <f>VLOOKUP($A11,'PW k=5'!$A$2:$D$154,4,0)</f>
        <v>-0.1481000938</v>
      </c>
      <c r="G11" s="9">
        <f>VLOOKUP($A11,'PW k=2'!$A$2:$D$154,2,0)</f>
        <v>671</v>
      </c>
      <c r="H11" s="9">
        <f>VLOOKUP($A11,'PW k=3'!$A$2:$D$154,2,0)</f>
        <v>271</v>
      </c>
      <c r="I11" s="9">
        <f>VLOOKUP($A11,'PW k=4'!$A$2:$D$154,2,0)</f>
        <v>100</v>
      </c>
      <c r="J11" s="9">
        <f>VLOOKUP($A11,'PW k=5'!$A$2:$D$154,2,0)</f>
        <v>36</v>
      </c>
      <c r="L11" s="13">
        <f t="shared" si="1"/>
        <v>-0.05402818723</v>
      </c>
      <c r="N11" s="26" t="s">
        <v>30</v>
      </c>
      <c r="O11" s="13">
        <v>0.01603890328801499</v>
      </c>
    </row>
    <row r="12">
      <c r="A12" s="26" t="s">
        <v>170</v>
      </c>
      <c r="B12" s="13">
        <f>VLOOKUP($A12,'PW k=2'!$A$2:$D$154,4,0)</f>
        <v>-0.02657868249</v>
      </c>
      <c r="C12" s="13">
        <f>VLOOKUP($A12,'PW k=3'!$A$2:$D$154,4,0)</f>
        <v>-0.02950949462</v>
      </c>
      <c r="D12" s="13">
        <f>VLOOKUP($A12,'PW k=4'!$A$2:$D$154,4,0)</f>
        <v>-0.07198905342</v>
      </c>
      <c r="E12" s="13">
        <f>VLOOKUP($A12,'PW k=5'!$A$2:$D$154,4,0)</f>
        <v>-0.2470459803</v>
      </c>
      <c r="G12" s="9">
        <f>VLOOKUP($A12,'PW k=2'!$A$2:$D$154,2,0)</f>
        <v>491</v>
      </c>
      <c r="H12" s="9">
        <f>VLOOKUP($A12,'PW k=3'!$A$2:$D$154,2,0)</f>
        <v>195</v>
      </c>
      <c r="I12" s="9">
        <f>VLOOKUP($A12,'PW k=4'!$A$2:$D$154,2,0)</f>
        <v>76</v>
      </c>
      <c r="J12" s="9">
        <f>VLOOKUP($A12,'PW k=5'!$A$2:$D$154,2,0)</f>
        <v>27</v>
      </c>
      <c r="L12" s="13">
        <f t="shared" si="1"/>
        <v>-0.0392216655</v>
      </c>
      <c r="N12" s="26" t="s">
        <v>138</v>
      </c>
      <c r="O12" s="13">
        <v>0.01339321433128134</v>
      </c>
    </row>
    <row r="13">
      <c r="A13" s="26" t="s">
        <v>173</v>
      </c>
      <c r="B13" s="13">
        <f>VLOOKUP($A13,'PW k=2'!$A$2:$D$154,4,0)</f>
        <v>-0.02088753515</v>
      </c>
      <c r="C13" s="13">
        <f>VLOOKUP($A13,'PW k=3'!$A$2:$D$154,4,0)</f>
        <v>-0.02062659545</v>
      </c>
      <c r="D13" s="13">
        <f>VLOOKUP($A13,'PW k=4'!$A$2:$D$154,4,0)</f>
        <v>-0.06217117362</v>
      </c>
      <c r="E13" s="13">
        <f>VLOOKUP($A13,'PW k=5'!$A$2:$D$154,4,0)</f>
        <v>-0.002333483337</v>
      </c>
      <c r="G13" s="9">
        <f>VLOOKUP($A13,'PW k=2'!$A$2:$D$154,2,0)</f>
        <v>677</v>
      </c>
      <c r="H13" s="9">
        <f>VLOOKUP($A13,'PW k=3'!$A$2:$D$154,2,0)</f>
        <v>291</v>
      </c>
      <c r="I13" s="9">
        <f>VLOOKUP($A13,'PW k=4'!$A$2:$D$154,2,0)</f>
        <v>126</v>
      </c>
      <c r="J13" s="9">
        <f>VLOOKUP($A13,'PW k=5'!$A$2:$D$154,2,0)</f>
        <v>49</v>
      </c>
      <c r="L13" s="13">
        <f t="shared" si="1"/>
        <v>-0.02457664841</v>
      </c>
      <c r="N13" s="26" t="s">
        <v>67</v>
      </c>
      <c r="O13" s="13">
        <v>0.01164202122798304</v>
      </c>
    </row>
    <row r="14">
      <c r="A14" s="26" t="s">
        <v>107</v>
      </c>
      <c r="B14" s="13">
        <f>VLOOKUP($A14,'PW k=2'!$A$2:$D$154,4,0)</f>
        <v>-0.02534381993</v>
      </c>
      <c r="C14" s="13">
        <f>VLOOKUP($A14,'PW k=3'!$A$2:$D$154,4,0)</f>
        <v>0.02387909997</v>
      </c>
      <c r="D14" s="13">
        <f>VLOOKUP($A14,'PW k=4'!$A$2:$D$154,4,0)</f>
        <v>0.04639195464</v>
      </c>
      <c r="E14" s="13">
        <f>VLOOKUP($A14,'PW k=5'!$A$2:$D$154,4,0)</f>
        <v>0.004102377441</v>
      </c>
      <c r="G14" s="9">
        <f>VLOOKUP($A14,'PW k=2'!$A$2:$D$154,2,0)</f>
        <v>630</v>
      </c>
      <c r="H14" s="9">
        <f>VLOOKUP($A14,'PW k=3'!$A$2:$D$154,2,0)</f>
        <v>279</v>
      </c>
      <c r="I14" s="9">
        <f>VLOOKUP($A14,'PW k=4'!$A$2:$D$154,2,0)</f>
        <v>135</v>
      </c>
      <c r="J14" s="9">
        <f>VLOOKUP($A14,'PW k=5'!$A$2:$D$154,2,0)</f>
        <v>66</v>
      </c>
      <c r="L14" s="13">
        <f t="shared" si="1"/>
        <v>-0.002496096285</v>
      </c>
      <c r="N14" s="26" t="s">
        <v>44</v>
      </c>
      <c r="O14" s="13">
        <v>0.011619688954710343</v>
      </c>
    </row>
    <row r="15">
      <c r="A15" s="26" t="s">
        <v>139</v>
      </c>
      <c r="B15" s="13">
        <f>VLOOKUP($A15,'PW k=2'!$A$2:$D$154,4,0)</f>
        <v>-0.009983063588</v>
      </c>
      <c r="C15" s="13">
        <f>VLOOKUP($A15,'PW k=3'!$A$2:$D$154,4,0)</f>
        <v>-0.03269028244</v>
      </c>
      <c r="D15" s="13">
        <f>VLOOKUP($A15,'PW k=4'!$A$2:$D$154,4,0)</f>
        <v>-0.05979745462</v>
      </c>
      <c r="E15" s="13">
        <f>VLOOKUP($A15,'PW k=5'!$A$2:$D$154,4,0)</f>
        <v>-0.04012383334</v>
      </c>
      <c r="G15" s="9">
        <f>VLOOKUP($A15,'PW k=2'!$A$2:$D$154,2,0)</f>
        <v>580</v>
      </c>
      <c r="H15" s="9">
        <f>VLOOKUP($A15,'PW k=3'!$A$2:$D$154,2,0)</f>
        <v>259</v>
      </c>
      <c r="I15" s="9">
        <f>VLOOKUP($A15,'PW k=4'!$A$2:$D$154,2,0)</f>
        <v>111</v>
      </c>
      <c r="J15" s="9">
        <f>VLOOKUP($A15,'PW k=5'!$A$2:$D$154,2,0)</f>
        <v>44</v>
      </c>
      <c r="L15" s="13">
        <f t="shared" si="1"/>
        <v>-0.0227967064</v>
      </c>
      <c r="N15" s="26" t="s">
        <v>52</v>
      </c>
      <c r="O15" s="13">
        <v>0.011189641895968048</v>
      </c>
    </row>
    <row r="16">
      <c r="A16" s="26" t="s">
        <v>64</v>
      </c>
      <c r="B16" s="13">
        <f>VLOOKUP($A16,'PW k=2'!$A$2:$D$154,4,0)</f>
        <v>-0.02613550511</v>
      </c>
      <c r="C16" s="13">
        <f>VLOOKUP($A16,'PW k=3'!$A$2:$D$154,4,0)</f>
        <v>-0.01901519223</v>
      </c>
      <c r="D16" s="13">
        <f>VLOOKUP($A16,'PW k=4'!$A$2:$D$154,4,0)</f>
        <v>-0.06240913538</v>
      </c>
      <c r="E16" s="13">
        <f>VLOOKUP($A16,'PW k=5'!$A$2:$D$154,4,0)</f>
        <v>-0.0797998185</v>
      </c>
      <c r="G16" s="9">
        <f>VLOOKUP($A16,'PW k=2'!$A$2:$D$154,2,0)</f>
        <v>653</v>
      </c>
      <c r="H16" s="9">
        <f>VLOOKUP($A16,'PW k=3'!$A$2:$D$154,2,0)</f>
        <v>311</v>
      </c>
      <c r="I16" s="9">
        <f>VLOOKUP($A16,'PW k=4'!$A$2:$D$154,2,0)</f>
        <v>150</v>
      </c>
      <c r="J16" s="9">
        <f>VLOOKUP($A16,'PW k=5'!$A$2:$D$154,2,0)</f>
        <v>65</v>
      </c>
      <c r="L16" s="13">
        <f t="shared" si="1"/>
        <v>-0.03183084659</v>
      </c>
      <c r="N16" s="26" t="s">
        <v>24</v>
      </c>
      <c r="O16" s="13">
        <v>0.01010054101569699</v>
      </c>
    </row>
    <row r="17">
      <c r="A17" s="26" t="s">
        <v>100</v>
      </c>
      <c r="B17" s="13">
        <f>VLOOKUP($A17,'PW k=2'!$A$2:$D$154,4,0)</f>
        <v>0.001527423266</v>
      </c>
      <c r="C17" s="13">
        <f>VLOOKUP($A17,'PW k=3'!$A$2:$D$154,4,0)</f>
        <v>-0.0131478715</v>
      </c>
      <c r="D17" s="13">
        <f>VLOOKUP($A17,'PW k=4'!$A$2:$D$154,4,0)</f>
        <v>-0.04383052864</v>
      </c>
      <c r="E17" s="13">
        <f>VLOOKUP($A17,'PW k=5'!$A$2:$D$154,4,0)</f>
        <v>-0.04867341839</v>
      </c>
      <c r="G17" s="9">
        <f>VLOOKUP($A17,'PW k=2'!$A$2:$D$154,2,0)</f>
        <v>646</v>
      </c>
      <c r="H17" s="9">
        <f>VLOOKUP($A17,'PW k=3'!$A$2:$D$154,2,0)</f>
        <v>260</v>
      </c>
      <c r="I17" s="9">
        <f>VLOOKUP($A17,'PW k=4'!$A$2:$D$154,2,0)</f>
        <v>99</v>
      </c>
      <c r="J17" s="9">
        <f>VLOOKUP($A17,'PW k=5'!$A$2:$D$154,2,0)</f>
        <v>35</v>
      </c>
      <c r="L17" s="13">
        <f t="shared" si="1"/>
        <v>-0.008148579941</v>
      </c>
      <c r="N17" s="26" t="s">
        <v>81</v>
      </c>
      <c r="O17" s="13">
        <v>0.009764441823909785</v>
      </c>
    </row>
    <row r="18">
      <c r="A18" s="26" t="s">
        <v>124</v>
      </c>
      <c r="B18" s="13">
        <f>VLOOKUP($A18,'PW k=2'!$A$2:$D$154,4,0)</f>
        <v>-0.02266147784</v>
      </c>
      <c r="C18" s="13">
        <f>VLOOKUP($A18,'PW k=3'!$A$2:$D$154,4,0)</f>
        <v>0.03495229994</v>
      </c>
      <c r="D18" s="13">
        <f>VLOOKUP($A18,'PW k=4'!$A$2:$D$154,4,0)</f>
        <v>-0.03569585889</v>
      </c>
      <c r="E18" s="13">
        <f>VLOOKUP($A18,'PW k=5'!$A$2:$D$154,4,0)</f>
        <v>-0.05509508874</v>
      </c>
      <c r="G18" s="9">
        <f>VLOOKUP($A18,'PW k=2'!$A$2:$D$154,2,0)</f>
        <v>545</v>
      </c>
      <c r="H18" s="9">
        <f>VLOOKUP($A18,'PW k=3'!$A$2:$D$154,2,0)</f>
        <v>209</v>
      </c>
      <c r="I18" s="9">
        <f>VLOOKUP($A18,'PW k=4'!$A$2:$D$154,2,0)</f>
        <v>91</v>
      </c>
      <c r="J18" s="9">
        <f>VLOOKUP($A18,'PW k=5'!$A$2:$D$154,2,0)</f>
        <v>34</v>
      </c>
      <c r="L18" s="13">
        <f t="shared" si="1"/>
        <v>-0.01156658807</v>
      </c>
      <c r="N18" s="26" t="s">
        <v>54</v>
      </c>
      <c r="O18" s="13">
        <v>0.009467917369102376</v>
      </c>
    </row>
    <row r="19">
      <c r="A19" s="26" t="s">
        <v>145</v>
      </c>
      <c r="B19" s="13">
        <f>VLOOKUP($A19,'PW k=2'!$A$2:$D$154,4,0)</f>
        <v>-0.01699035552</v>
      </c>
      <c r="C19" s="13">
        <f>VLOOKUP($A19,'PW k=3'!$A$2:$D$154,4,0)</f>
        <v>-0.0566549</v>
      </c>
      <c r="D19" s="13">
        <f>VLOOKUP($A19,'PW k=4'!$A$2:$D$154,4,0)</f>
        <v>-0.0118664452</v>
      </c>
      <c r="E19" s="13">
        <f>VLOOKUP($A19,'PW k=5'!$A$2:$D$154,4,0)</f>
        <v>-0.1618095226</v>
      </c>
      <c r="G19" s="9">
        <f>VLOOKUP($A19,'PW k=2'!$A$2:$D$154,2,0)</f>
        <v>575</v>
      </c>
      <c r="H19" s="9">
        <f>VLOOKUP($A19,'PW k=3'!$A$2:$D$154,2,0)</f>
        <v>230</v>
      </c>
      <c r="I19" s="9">
        <f>VLOOKUP($A19,'PW k=4'!$A$2:$D$154,2,0)</f>
        <v>87</v>
      </c>
      <c r="J19" s="9">
        <f>VLOOKUP($A19,'PW k=5'!$A$2:$D$154,2,0)</f>
        <v>37</v>
      </c>
      <c r="L19" s="13">
        <f t="shared" si="1"/>
        <v>-0.03209840096</v>
      </c>
      <c r="N19" s="26" t="s">
        <v>84</v>
      </c>
      <c r="O19" s="13">
        <v>0.008934770349430745</v>
      </c>
    </row>
    <row r="20">
      <c r="A20" s="26" t="s">
        <v>80</v>
      </c>
      <c r="B20" s="13">
        <f>VLOOKUP($A20,'PW k=2'!$A$2:$D$154,4,0)</f>
        <v>-0.009639771261</v>
      </c>
      <c r="C20" s="13">
        <f>VLOOKUP($A20,'PW k=3'!$A$2:$D$154,4,0)</f>
        <v>-0.07732865328</v>
      </c>
      <c r="D20" s="13">
        <f>VLOOKUP($A20,'PW k=4'!$A$2:$D$154,4,0)</f>
        <v>-0.08399485437</v>
      </c>
      <c r="E20" s="13">
        <f>VLOOKUP($A20,'PW k=5'!$A$2:$D$154,4,0)</f>
        <v>-0.3671057527</v>
      </c>
      <c r="G20" s="9">
        <f>VLOOKUP($A20,'PW k=2'!$A$2:$D$154,2,0)</f>
        <v>427</v>
      </c>
      <c r="H20" s="9">
        <f>VLOOKUP($A20,'PW k=3'!$A$2:$D$154,2,0)</f>
        <v>159</v>
      </c>
      <c r="I20" s="9">
        <f>VLOOKUP($A20,'PW k=4'!$A$2:$D$154,2,0)</f>
        <v>51</v>
      </c>
      <c r="J20" s="9">
        <f>VLOOKUP($A20,'PW k=5'!$A$2:$D$154,2,0)</f>
        <v>14</v>
      </c>
      <c r="L20" s="13">
        <f t="shared" si="1"/>
        <v>-0.03968457191</v>
      </c>
      <c r="N20" s="26" t="s">
        <v>66</v>
      </c>
      <c r="O20" s="13">
        <v>0.008543679339602032</v>
      </c>
    </row>
    <row r="21">
      <c r="A21" s="26" t="s">
        <v>118</v>
      </c>
      <c r="B21" s="13">
        <f>VLOOKUP($A21,'PW k=2'!$A$2:$D$154,4,0)</f>
        <v>-0.006818439845</v>
      </c>
      <c r="C21" s="13">
        <f>VLOOKUP($A21,'PW k=3'!$A$2:$D$154,4,0)</f>
        <v>-0.02153069475</v>
      </c>
      <c r="D21" s="13">
        <f>VLOOKUP($A21,'PW k=4'!$A$2:$D$154,4,0)</f>
        <v>-0.01594735923</v>
      </c>
      <c r="E21" s="13">
        <f>VLOOKUP($A21,'PW k=5'!$A$2:$D$154,4,0)</f>
        <v>0.01736440833</v>
      </c>
      <c r="G21" s="9">
        <f>VLOOKUP($A21,'PW k=2'!$A$2:$D$154,2,0)</f>
        <v>720</v>
      </c>
      <c r="H21" s="9">
        <f>VLOOKUP($A21,'PW k=3'!$A$2:$D$154,2,0)</f>
        <v>364</v>
      </c>
      <c r="I21" s="9">
        <f>VLOOKUP($A21,'PW k=4'!$A$2:$D$154,2,0)</f>
        <v>173</v>
      </c>
      <c r="J21" s="9">
        <f>VLOOKUP($A21,'PW k=5'!$A$2:$D$154,2,0)</f>
        <v>80</v>
      </c>
      <c r="L21" s="13">
        <f t="shared" si="1"/>
        <v>-0.01055810775</v>
      </c>
      <c r="N21" s="26" t="s">
        <v>36</v>
      </c>
      <c r="O21" s="13">
        <v>0.008387765532239633</v>
      </c>
    </row>
    <row r="22">
      <c r="A22" s="26" t="s">
        <v>75</v>
      </c>
      <c r="B22" s="13">
        <f>VLOOKUP($A22,'PW k=2'!$A$2:$D$154,4,0)</f>
        <v>0.0001245572995</v>
      </c>
      <c r="C22" s="13">
        <f>VLOOKUP($A22,'PW k=3'!$A$2:$D$154,4,0)</f>
        <v>-0.001162939352</v>
      </c>
      <c r="D22" s="13">
        <f>VLOOKUP($A22,'PW k=4'!$A$2:$D$154,4,0)</f>
        <v>-0.05699994107</v>
      </c>
      <c r="E22" s="13">
        <f>VLOOKUP($A22,'PW k=5'!$A$2:$D$154,4,0)</f>
        <v>-0.0841635636</v>
      </c>
      <c r="G22" s="9">
        <f>VLOOKUP($A22,'PW k=2'!$A$2:$D$154,2,0)</f>
        <v>422</v>
      </c>
      <c r="H22" s="9">
        <f>VLOOKUP($A22,'PW k=3'!$A$2:$D$154,2,0)</f>
        <v>172</v>
      </c>
      <c r="I22" s="9">
        <f>VLOOKUP($A22,'PW k=4'!$A$2:$D$154,2,0)</f>
        <v>68</v>
      </c>
      <c r="J22" s="9">
        <f>VLOOKUP($A22,'PW k=5'!$A$2:$D$154,2,0)</f>
        <v>24</v>
      </c>
      <c r="L22" s="13">
        <f t="shared" si="1"/>
        <v>-0.008809597532</v>
      </c>
      <c r="N22" s="26" t="s">
        <v>77</v>
      </c>
      <c r="O22" s="13">
        <v>0.00792982059335936</v>
      </c>
    </row>
    <row r="23">
      <c r="A23" s="26" t="s">
        <v>74</v>
      </c>
      <c r="B23" s="13">
        <f>VLOOKUP($A23,'PW k=2'!$A$2:$D$154,4,0)</f>
        <v>-0.05475458516</v>
      </c>
      <c r="C23" s="13">
        <f>VLOOKUP($A23,'PW k=3'!$A$2:$D$154,4,0)</f>
        <v>-0.06704522456</v>
      </c>
      <c r="D23" s="13">
        <f>VLOOKUP($A23,'PW k=4'!$A$2:$D$154,4,0)</f>
        <v>-0.005167281819</v>
      </c>
      <c r="E23" s="13">
        <f>VLOOKUP($A23,'PW k=5'!$A$2:$D$154,4,0)</f>
        <v>0.0510148558</v>
      </c>
      <c r="G23" s="9">
        <f>VLOOKUP($A23,'PW k=2'!$A$2:$D$154,2,0)</f>
        <v>306</v>
      </c>
      <c r="H23" s="9">
        <f>VLOOKUP($A23,'PW k=3'!$A$2:$D$154,2,0)</f>
        <v>109</v>
      </c>
      <c r="I23" s="9">
        <f>VLOOKUP($A23,'PW k=4'!$A$2:$D$154,2,0)</f>
        <v>35</v>
      </c>
      <c r="J23" s="9">
        <f>VLOOKUP($A23,'PW k=5'!$A$2:$D$154,2,0)</f>
        <v>13</v>
      </c>
      <c r="L23" s="13">
        <f t="shared" si="1"/>
        <v>-0.05092979325</v>
      </c>
      <c r="N23" s="26" t="s">
        <v>20</v>
      </c>
      <c r="O23" s="13">
        <v>0.006994948458367659</v>
      </c>
    </row>
    <row r="24">
      <c r="A24" s="26" t="s">
        <v>140</v>
      </c>
      <c r="B24" s="13">
        <f>VLOOKUP($A24,'PW k=2'!$A$2:$D$154,4,0)</f>
        <v>-0.02747735383</v>
      </c>
      <c r="C24" s="13">
        <f>VLOOKUP($A24,'PW k=3'!$A$2:$D$154,4,0)</f>
        <v>-0.000576296338</v>
      </c>
      <c r="D24" s="13">
        <f>VLOOKUP($A24,'PW k=4'!$A$2:$D$154,4,0)</f>
        <v>-0.1212528069</v>
      </c>
      <c r="E24" s="13">
        <f>VLOOKUP($A24,'PW k=5'!$A$2:$D$154,4,0)</f>
        <v>-0.1279397941</v>
      </c>
      <c r="G24" s="9">
        <f>VLOOKUP($A24,'PW k=2'!$A$2:$D$154,2,0)</f>
        <v>409</v>
      </c>
      <c r="H24" s="9">
        <f>VLOOKUP($A24,'PW k=3'!$A$2:$D$154,2,0)</f>
        <v>153</v>
      </c>
      <c r="I24" s="9">
        <f>VLOOKUP($A24,'PW k=4'!$A$2:$D$154,2,0)</f>
        <v>59</v>
      </c>
      <c r="J24" s="9">
        <f>VLOOKUP($A24,'PW k=5'!$A$2:$D$154,2,0)</f>
        <v>18</v>
      </c>
      <c r="L24" s="13">
        <f t="shared" si="1"/>
        <v>-0.03252463687</v>
      </c>
      <c r="N24" s="26" t="s">
        <v>48</v>
      </c>
      <c r="O24" s="13">
        <v>0.006611250576679763</v>
      </c>
    </row>
    <row r="25">
      <c r="A25" s="26" t="s">
        <v>147</v>
      </c>
      <c r="B25" s="13">
        <f>VLOOKUP($A25,'PW k=2'!$A$2:$D$154,4,0)</f>
        <v>-0.03254378107</v>
      </c>
      <c r="C25" s="13">
        <f>VLOOKUP($A25,'PW k=3'!$A$2:$D$154,4,0)</f>
        <v>0.001087509696</v>
      </c>
      <c r="D25" s="13">
        <f>VLOOKUP($A25,'PW k=4'!$A$2:$D$154,4,0)</f>
        <v>-0.02946645566</v>
      </c>
      <c r="E25" s="13">
        <f>VLOOKUP($A25,'PW k=5'!$A$2:$D$154,4,0)</f>
        <v>0.001225718869</v>
      </c>
      <c r="G25" s="9">
        <f>VLOOKUP($A25,'PW k=2'!$A$2:$D$154,2,0)</f>
        <v>244</v>
      </c>
      <c r="H25" s="9">
        <f>VLOOKUP($A25,'PW k=3'!$A$2:$D$154,2,0)</f>
        <v>96</v>
      </c>
      <c r="I25" s="9">
        <f>VLOOKUP($A25,'PW k=4'!$A$2:$D$154,2,0)</f>
        <v>43</v>
      </c>
      <c r="J25" s="9">
        <f>VLOOKUP($A25,'PW k=5'!$A$2:$D$154,2,0)</f>
        <v>18</v>
      </c>
      <c r="L25" s="13">
        <f t="shared" si="1"/>
        <v>-0.02264657432</v>
      </c>
      <c r="N25" s="26" t="s">
        <v>62</v>
      </c>
      <c r="O25" s="13">
        <v>0.006051196168518649</v>
      </c>
    </row>
    <row r="26">
      <c r="A26" s="26" t="s">
        <v>130</v>
      </c>
      <c r="B26" s="13">
        <f>VLOOKUP($A26,'PW k=2'!$A$2:$D$154,4,0)</f>
        <v>-0.01898505519</v>
      </c>
      <c r="C26" s="13">
        <f>VLOOKUP($A26,'PW k=3'!$A$2:$D$154,4,0)</f>
        <v>-0.01988187136</v>
      </c>
      <c r="D26" s="13">
        <f>VLOOKUP($A26,'PW k=4'!$A$2:$D$154,4,0)</f>
        <v>-0.01821750022</v>
      </c>
      <c r="E26" s="13">
        <f>VLOOKUP($A26,'PW k=5'!$A$2:$D$154,4,0)</f>
        <v>0.04711324734</v>
      </c>
      <c r="G26" s="9">
        <f>VLOOKUP($A26,'PW k=2'!$A$2:$D$154,2,0)</f>
        <v>488</v>
      </c>
      <c r="H26" s="9">
        <f>VLOOKUP($A26,'PW k=3'!$A$2:$D$154,2,0)</f>
        <v>220</v>
      </c>
      <c r="I26" s="9">
        <f>VLOOKUP($A26,'PW k=4'!$A$2:$D$154,2,0)</f>
        <v>94</v>
      </c>
      <c r="J26" s="9">
        <f>VLOOKUP($A26,'PW k=5'!$A$2:$D$154,2,0)</f>
        <v>38</v>
      </c>
      <c r="L26" s="13">
        <f t="shared" si="1"/>
        <v>-0.01614388125</v>
      </c>
      <c r="N26" s="26" t="s">
        <v>159</v>
      </c>
      <c r="O26" s="13">
        <v>0.005919237754105882</v>
      </c>
    </row>
    <row r="27">
      <c r="A27" s="26" t="s">
        <v>163</v>
      </c>
      <c r="B27" s="13">
        <f>VLOOKUP($A27,'PW k=2'!$A$2:$D$154,4,0)</f>
        <v>-0.05071413497</v>
      </c>
      <c r="C27" s="13">
        <f>VLOOKUP($A27,'PW k=3'!$A$2:$D$154,4,0)</f>
        <v>-0.03575849882</v>
      </c>
      <c r="D27" s="13">
        <f>VLOOKUP($A27,'PW k=4'!$A$2:$D$154,4,0)</f>
        <v>-0.1545418284</v>
      </c>
      <c r="E27" s="13">
        <f>VLOOKUP($A27,'PW k=5'!$A$2:$D$154,4,0)</f>
        <v>-0.4288735226</v>
      </c>
      <c r="G27" s="9">
        <f>VLOOKUP($A27,'PW k=2'!$A$2:$D$154,2,0)</f>
        <v>365</v>
      </c>
      <c r="H27" s="9">
        <f>VLOOKUP($A27,'PW k=3'!$A$2:$D$154,2,0)</f>
        <v>125</v>
      </c>
      <c r="I27" s="9">
        <f>VLOOKUP($A27,'PW k=4'!$A$2:$D$154,2,0)</f>
        <v>45</v>
      </c>
      <c r="J27" s="9">
        <f>VLOOKUP($A27,'PW k=5'!$A$2:$D$154,2,0)</f>
        <v>9</v>
      </c>
      <c r="L27" s="13">
        <f t="shared" si="1"/>
        <v>-0.06212263897</v>
      </c>
      <c r="N27" s="26" t="s">
        <v>141</v>
      </c>
      <c r="O27" s="13">
        <v>0.004889298724303208</v>
      </c>
    </row>
    <row r="28">
      <c r="A28" s="26" t="s">
        <v>109</v>
      </c>
      <c r="B28" s="13">
        <f>VLOOKUP($A28,'PW k=2'!$A$2:$D$154,4,0)</f>
        <v>-0.009795695287</v>
      </c>
      <c r="C28" s="13">
        <f>VLOOKUP($A28,'PW k=3'!$A$2:$D$154,4,0)</f>
        <v>0.006104070146</v>
      </c>
      <c r="D28" s="13">
        <f>VLOOKUP($A28,'PW k=4'!$A$2:$D$154,4,0)</f>
        <v>0.04425209257</v>
      </c>
      <c r="E28" s="13">
        <f>VLOOKUP($A28,'PW k=5'!$A$2:$D$154,4,0)</f>
        <v>0.03348447486</v>
      </c>
      <c r="G28" s="9">
        <f>VLOOKUP($A28,'PW k=2'!$A$2:$D$154,2,0)</f>
        <v>531</v>
      </c>
      <c r="H28" s="9">
        <f>VLOOKUP($A28,'PW k=3'!$A$2:$D$154,2,0)</f>
        <v>221</v>
      </c>
      <c r="I28" s="9">
        <f>VLOOKUP($A28,'PW k=4'!$A$2:$D$154,2,0)</f>
        <v>93</v>
      </c>
      <c r="J28" s="9">
        <f>VLOOKUP($A28,'PW k=5'!$A$2:$D$154,2,0)</f>
        <v>43</v>
      </c>
      <c r="L28" s="13">
        <f t="shared" si="1"/>
        <v>0.00191752515</v>
      </c>
      <c r="N28" s="26" t="s">
        <v>160</v>
      </c>
      <c r="O28" s="13">
        <v>0.004669077970083798</v>
      </c>
    </row>
    <row r="29">
      <c r="A29" s="26" t="s">
        <v>127</v>
      </c>
      <c r="B29" s="13">
        <f>VLOOKUP($A29,'PW k=2'!$A$2:$D$154,4,0)</f>
        <v>-0.02574918029</v>
      </c>
      <c r="C29" s="13">
        <f>VLOOKUP($A29,'PW k=3'!$A$2:$D$154,4,0)</f>
        <v>-0.04114191888</v>
      </c>
      <c r="D29" s="13">
        <f>VLOOKUP($A29,'PW k=4'!$A$2:$D$154,4,0)</f>
        <v>-0.04418293256</v>
      </c>
      <c r="E29" s="13">
        <f>VLOOKUP($A29,'PW k=5'!$A$2:$D$154,4,0)</f>
        <v>-0.07474763672</v>
      </c>
      <c r="G29" s="9">
        <f>VLOOKUP($A29,'PW k=2'!$A$2:$D$154,2,0)</f>
        <v>498</v>
      </c>
      <c r="H29" s="9">
        <f>VLOOKUP($A29,'PW k=3'!$A$2:$D$154,2,0)</f>
        <v>213</v>
      </c>
      <c r="I29" s="9">
        <f>VLOOKUP($A29,'PW k=4'!$A$2:$D$154,2,0)</f>
        <v>89</v>
      </c>
      <c r="J29" s="9">
        <f>VLOOKUP($A29,'PW k=5'!$A$2:$D$154,2,0)</f>
        <v>35</v>
      </c>
      <c r="L29" s="13">
        <f t="shared" si="1"/>
        <v>-0.03369433388</v>
      </c>
      <c r="N29" s="26" t="s">
        <v>112</v>
      </c>
      <c r="O29" s="13">
        <v>0.003985049946752658</v>
      </c>
    </row>
    <row r="30">
      <c r="A30" s="26" t="s">
        <v>160</v>
      </c>
      <c r="B30" s="13">
        <f>VLOOKUP($A30,'PW k=2'!$A$2:$D$154,4,0)</f>
        <v>-0.02295909863</v>
      </c>
      <c r="C30" s="13">
        <f>VLOOKUP($A30,'PW k=3'!$A$2:$D$154,4,0)</f>
        <v>0.02435049783</v>
      </c>
      <c r="D30" s="13">
        <f>VLOOKUP($A30,'PW k=4'!$A$2:$D$154,4,0)</f>
        <v>0.0955874206</v>
      </c>
      <c r="E30" s="13">
        <f>VLOOKUP($A30,'PW k=5'!$A$2:$D$154,4,0)</f>
        <v>0.1447808267</v>
      </c>
      <c r="G30" s="9">
        <f>VLOOKUP($A30,'PW k=2'!$A$2:$D$154,2,0)</f>
        <v>385</v>
      </c>
      <c r="H30" s="9">
        <f>VLOOKUP($A30,'PW k=3'!$A$2:$D$154,2,0)</f>
        <v>139</v>
      </c>
      <c r="I30" s="9">
        <f>VLOOKUP($A30,'PW k=4'!$A$2:$D$154,2,0)</f>
        <v>53</v>
      </c>
      <c r="J30" s="9">
        <f>VLOOKUP($A30,'PW k=5'!$A$2:$D$154,2,0)</f>
        <v>22</v>
      </c>
      <c r="L30" s="13">
        <f t="shared" si="1"/>
        <v>0.00466907797</v>
      </c>
      <c r="N30" s="26" t="s">
        <v>56</v>
      </c>
      <c r="O30" s="13">
        <v>0.003450617049663549</v>
      </c>
    </row>
    <row r="31">
      <c r="A31" s="26" t="s">
        <v>154</v>
      </c>
      <c r="B31" s="13">
        <f>VLOOKUP($A31,'PW k=2'!$A$2:$D$154,4,0)</f>
        <v>-0.02840176563</v>
      </c>
      <c r="C31" s="13">
        <f>VLOOKUP($A31,'PW k=3'!$A$2:$D$154,4,0)</f>
        <v>0.005805916362</v>
      </c>
      <c r="D31" s="13">
        <f>VLOOKUP($A31,'PW k=4'!$A$2:$D$154,4,0)</f>
        <v>-0.09290499751</v>
      </c>
      <c r="E31" s="13">
        <f>VLOOKUP($A31,'PW k=5'!$A$2:$D$154,4,0)</f>
        <v>-0.1053352488</v>
      </c>
      <c r="G31" s="9">
        <f>VLOOKUP($A31,'PW k=2'!$A$2:$D$154,2,0)</f>
        <v>373</v>
      </c>
      <c r="H31" s="9">
        <f>VLOOKUP($A31,'PW k=3'!$A$2:$D$154,2,0)</f>
        <v>142</v>
      </c>
      <c r="I31" s="9">
        <f>VLOOKUP($A31,'PW k=4'!$A$2:$D$154,2,0)</f>
        <v>59</v>
      </c>
      <c r="J31" s="9">
        <f>VLOOKUP($A31,'PW k=5'!$A$2:$D$154,2,0)</f>
        <v>22</v>
      </c>
      <c r="L31" s="13">
        <f t="shared" si="1"/>
        <v>-0.02947682682</v>
      </c>
      <c r="N31" s="26" t="s">
        <v>32</v>
      </c>
      <c r="O31" s="13">
        <v>0.0027351955696096985</v>
      </c>
    </row>
    <row r="32">
      <c r="A32" s="26" t="s">
        <v>105</v>
      </c>
      <c r="B32" s="13">
        <f>VLOOKUP($A32,'PW k=2'!$A$2:$D$154,4,0)</f>
        <v>-0.0121857824</v>
      </c>
      <c r="C32" s="13">
        <f>VLOOKUP($A32,'PW k=3'!$A$2:$D$154,4,0)</f>
        <v>-0.05817081337</v>
      </c>
      <c r="D32" s="13">
        <f>VLOOKUP($A32,'PW k=4'!$A$2:$D$154,4,0)</f>
        <v>0.0008075516364</v>
      </c>
      <c r="E32" s="13">
        <f>VLOOKUP($A32,'PW k=5'!$A$2:$D$154,4,0)</f>
        <v>-0.07775066673</v>
      </c>
      <c r="G32" s="9">
        <f>VLOOKUP($A32,'PW k=2'!$A$2:$D$154,2,0)</f>
        <v>460</v>
      </c>
      <c r="H32" s="9">
        <f>VLOOKUP($A32,'PW k=3'!$A$2:$D$154,2,0)</f>
        <v>178</v>
      </c>
      <c r="I32" s="9">
        <f>VLOOKUP($A32,'PW k=4'!$A$2:$D$154,2,0)</f>
        <v>64</v>
      </c>
      <c r="J32" s="9">
        <f>VLOOKUP($A32,'PW k=5'!$A$2:$D$154,2,0)</f>
        <v>26</v>
      </c>
      <c r="L32" s="13">
        <f t="shared" si="1"/>
        <v>-0.02462870703</v>
      </c>
      <c r="N32" s="26" t="s">
        <v>71</v>
      </c>
      <c r="O32" s="13">
        <v>0.002137198618415907</v>
      </c>
    </row>
    <row r="33">
      <c r="A33" s="26" t="s">
        <v>138</v>
      </c>
      <c r="B33" s="13">
        <f>VLOOKUP($A33,'PW k=2'!$A$2:$D$154,4,0)</f>
        <v>-0.01541016905</v>
      </c>
      <c r="C33" s="13">
        <f>VLOOKUP($A33,'PW k=3'!$A$2:$D$154,4,0)</f>
        <v>0.0571659874</v>
      </c>
      <c r="D33" s="13">
        <f>VLOOKUP($A33,'PW k=4'!$A$2:$D$154,4,0)</f>
        <v>0.03215550233</v>
      </c>
      <c r="E33" s="13">
        <f>VLOOKUP($A33,'PW k=5'!$A$2:$D$154,4,0)</f>
        <v>0.02902413126</v>
      </c>
      <c r="G33" s="9">
        <f>VLOOKUP($A33,'PW k=2'!$A$2:$D$154,2,0)</f>
        <v>575</v>
      </c>
      <c r="H33" s="9">
        <f>VLOOKUP($A33,'PW k=3'!$A$2:$D$154,2,0)</f>
        <v>280</v>
      </c>
      <c r="I33" s="9">
        <f>VLOOKUP($A33,'PW k=4'!$A$2:$D$154,2,0)</f>
        <v>157</v>
      </c>
      <c r="J33" s="9">
        <f>VLOOKUP($A33,'PW k=5'!$A$2:$D$154,2,0)</f>
        <v>87</v>
      </c>
      <c r="L33" s="13">
        <f t="shared" si="1"/>
        <v>0.01339321433</v>
      </c>
      <c r="N33" s="26" t="s">
        <v>157</v>
      </c>
      <c r="O33" s="13">
        <v>0.0019592810094497797</v>
      </c>
    </row>
    <row r="34">
      <c r="A34" s="26" t="s">
        <v>77</v>
      </c>
      <c r="B34" s="13">
        <f>VLOOKUP($A34,'PW k=2'!$A$2:$D$154,4,0)</f>
        <v>0.006782730333</v>
      </c>
      <c r="C34" s="13">
        <f>VLOOKUP($A34,'PW k=3'!$A$2:$D$154,4,0)</f>
        <v>0.01847709407</v>
      </c>
      <c r="D34" s="13">
        <f>VLOOKUP($A34,'PW k=4'!$A$2:$D$154,4,0)</f>
        <v>0.01052358185</v>
      </c>
      <c r="E34" s="13">
        <f>VLOOKUP($A34,'PW k=5'!$A$2:$D$154,4,0)</f>
        <v>-0.03453706777</v>
      </c>
      <c r="G34" s="9">
        <f>VLOOKUP($A34,'PW k=2'!$A$2:$D$154,2,0)</f>
        <v>502</v>
      </c>
      <c r="H34" s="9">
        <f>VLOOKUP($A34,'PW k=3'!$A$2:$D$154,2,0)</f>
        <v>243</v>
      </c>
      <c r="I34" s="9">
        <f>VLOOKUP($A34,'PW k=4'!$A$2:$D$154,2,0)</f>
        <v>118</v>
      </c>
      <c r="J34" s="9">
        <f>VLOOKUP($A34,'PW k=5'!$A$2:$D$154,2,0)</f>
        <v>54</v>
      </c>
      <c r="L34" s="13">
        <f t="shared" si="1"/>
        <v>0.007929820593</v>
      </c>
      <c r="N34" s="26" t="s">
        <v>109</v>
      </c>
      <c r="O34" s="13">
        <v>0.0019175251500428846</v>
      </c>
    </row>
    <row r="35">
      <c r="A35" s="26" t="s">
        <v>48</v>
      </c>
      <c r="B35" s="13">
        <f>VLOOKUP($A35,'PW k=2'!$A$2:$D$154,4,0)</f>
        <v>0.02244423131</v>
      </c>
      <c r="C35" s="13">
        <f>VLOOKUP($A35,'PW k=3'!$A$2:$D$154,4,0)</f>
        <v>-0.01392035057</v>
      </c>
      <c r="D35" s="13">
        <f>VLOOKUP($A35,'PW k=4'!$A$2:$D$154,4,0)</f>
        <v>-0.04265858068</v>
      </c>
      <c r="E35" s="13">
        <f>VLOOKUP($A35,'PW k=5'!$A$2:$D$154,4,0)</f>
        <v>0.02577207359</v>
      </c>
      <c r="G35" s="9">
        <f>VLOOKUP($A35,'PW k=2'!$A$2:$D$154,2,0)</f>
        <v>449</v>
      </c>
      <c r="H35" s="9">
        <f>VLOOKUP($A35,'PW k=3'!$A$2:$D$154,2,0)</f>
        <v>190</v>
      </c>
      <c r="I35" s="9">
        <f>VLOOKUP($A35,'PW k=4'!$A$2:$D$154,2,0)</f>
        <v>76</v>
      </c>
      <c r="J35" s="9">
        <f>VLOOKUP($A35,'PW k=5'!$A$2:$D$154,2,0)</f>
        <v>28</v>
      </c>
      <c r="L35" s="13">
        <f t="shared" si="1"/>
        <v>0.006611250577</v>
      </c>
      <c r="N35" s="26" t="s">
        <v>97</v>
      </c>
      <c r="O35" s="13">
        <v>0.0013530132761107945</v>
      </c>
    </row>
    <row r="36">
      <c r="A36" s="26" t="s">
        <v>108</v>
      </c>
      <c r="B36" s="13">
        <f>VLOOKUP($A36,'PW k=2'!$A$2:$D$154,4,0)</f>
        <v>-0.006306339069</v>
      </c>
      <c r="C36" s="13">
        <f>VLOOKUP($A36,'PW k=3'!$A$2:$D$154,4,0)</f>
        <v>-0.01494495553</v>
      </c>
      <c r="D36" s="13">
        <f>VLOOKUP($A36,'PW k=4'!$A$2:$D$154,4,0)</f>
        <v>-0.009790635266</v>
      </c>
      <c r="E36" s="13">
        <f>VLOOKUP($A36,'PW k=5'!$A$2:$D$154,4,0)</f>
        <v>-0.06210321927</v>
      </c>
      <c r="G36" s="9">
        <f>VLOOKUP($A36,'PW k=2'!$A$2:$D$154,2,0)</f>
        <v>572</v>
      </c>
      <c r="H36" s="9">
        <f>VLOOKUP($A36,'PW k=3'!$A$2:$D$154,2,0)</f>
        <v>219</v>
      </c>
      <c r="I36" s="9">
        <f>VLOOKUP($A36,'PW k=4'!$A$2:$D$154,2,0)</f>
        <v>82</v>
      </c>
      <c r="J36" s="9">
        <f>VLOOKUP($A36,'PW k=5'!$A$2:$D$154,2,0)</f>
        <v>32</v>
      </c>
      <c r="L36" s="13">
        <f t="shared" si="1"/>
        <v>-0.01068542134</v>
      </c>
      <c r="N36" s="26" t="s">
        <v>76</v>
      </c>
      <c r="O36" s="13">
        <v>0.0013070519526661422</v>
      </c>
    </row>
    <row r="37">
      <c r="A37" s="26" t="s">
        <v>187</v>
      </c>
      <c r="B37" s="13">
        <f>VLOOKUP($A37,'PW k=2'!$A$2:$D$154,4,0)</f>
        <v>-0.05778014877</v>
      </c>
      <c r="C37" s="13">
        <f>VLOOKUP($A37,'PW k=3'!$A$2:$D$154,4,0)</f>
        <v>-0.04194585074</v>
      </c>
      <c r="D37" s="13">
        <f>VLOOKUP($A37,'PW k=4'!$A$2:$D$154,4,0)</f>
        <v>-0.06599655243</v>
      </c>
      <c r="E37" s="13">
        <f>VLOOKUP($A37,'PW k=5'!$A$2:$D$154,4,0)</f>
        <v>-0.1633769434</v>
      </c>
      <c r="G37" s="9">
        <f>VLOOKUP($A37,'PW k=2'!$A$2:$D$154,2,0)</f>
        <v>360</v>
      </c>
      <c r="H37" s="9">
        <f>VLOOKUP($A37,'PW k=3'!$A$2:$D$154,2,0)</f>
        <v>128</v>
      </c>
      <c r="I37" s="9">
        <f>VLOOKUP($A37,'PW k=4'!$A$2:$D$154,2,0)</f>
        <v>49</v>
      </c>
      <c r="J37" s="9">
        <f>VLOOKUP($A37,'PW k=5'!$A$2:$D$154,2,0)</f>
        <v>17</v>
      </c>
      <c r="L37" s="13">
        <f t="shared" si="1"/>
        <v>-0.05808873928</v>
      </c>
      <c r="N37" s="26" t="s">
        <v>26</v>
      </c>
      <c r="O37" s="13">
        <v>0.0012165188288164768</v>
      </c>
    </row>
    <row r="38">
      <c r="A38" s="26" t="s">
        <v>96</v>
      </c>
      <c r="B38" s="13">
        <f>VLOOKUP($A38,'PW k=2'!$A$2:$D$154,4,0)</f>
        <v>-0.0118707037</v>
      </c>
      <c r="C38" s="13">
        <f>VLOOKUP($A38,'PW k=3'!$A$2:$D$154,4,0)</f>
        <v>-0.003258176307</v>
      </c>
      <c r="D38" s="13">
        <f>VLOOKUP($A38,'PW k=4'!$A$2:$D$154,4,0)</f>
        <v>0.01016740835</v>
      </c>
      <c r="E38" s="13">
        <f>VLOOKUP($A38,'PW k=5'!$A$2:$D$154,4,0)</f>
        <v>0.05137334291</v>
      </c>
      <c r="G38" s="9">
        <f>VLOOKUP($A38,'PW k=2'!$A$2:$D$154,2,0)</f>
        <v>406</v>
      </c>
      <c r="H38" s="9">
        <f>VLOOKUP($A38,'PW k=3'!$A$2:$D$154,2,0)</f>
        <v>168</v>
      </c>
      <c r="I38" s="9">
        <f>VLOOKUP($A38,'PW k=4'!$A$2:$D$154,2,0)</f>
        <v>69</v>
      </c>
      <c r="J38" s="9">
        <f>VLOOKUP($A38,'PW k=5'!$A$2:$D$154,2,0)</f>
        <v>27</v>
      </c>
      <c r="L38" s="13">
        <f t="shared" si="1"/>
        <v>-0.004892907291</v>
      </c>
      <c r="N38" s="26" t="s">
        <v>46</v>
      </c>
      <c r="O38" s="13">
        <v>9.805968840819893E-4</v>
      </c>
    </row>
    <row r="39">
      <c r="A39" s="26" t="s">
        <v>137</v>
      </c>
      <c r="B39" s="13">
        <f>VLOOKUP($A39,'PW k=2'!$A$2:$D$154,4,0)</f>
        <v>-0.02912109611</v>
      </c>
      <c r="C39" s="13">
        <f>VLOOKUP($A39,'PW k=3'!$A$2:$D$154,4,0)</f>
        <v>-0.01537717782</v>
      </c>
      <c r="D39" s="13">
        <f>VLOOKUP($A39,'PW k=4'!$A$2:$D$154,4,0)</f>
        <v>0.009336451471</v>
      </c>
      <c r="E39" s="13">
        <f>VLOOKUP($A39,'PW k=5'!$A$2:$D$154,4,0)</f>
        <v>0.1364249963</v>
      </c>
      <c r="G39" s="9">
        <f>VLOOKUP($A39,'PW k=2'!$A$2:$D$154,2,0)</f>
        <v>409</v>
      </c>
      <c r="H39" s="9">
        <f>VLOOKUP($A39,'PW k=3'!$A$2:$D$154,2,0)</f>
        <v>154</v>
      </c>
      <c r="I39" s="9">
        <f>VLOOKUP($A39,'PW k=4'!$A$2:$D$154,2,0)</f>
        <v>57</v>
      </c>
      <c r="J39" s="9">
        <f>VLOOKUP($A39,'PW k=5'!$A$2:$D$154,2,0)</f>
        <v>24</v>
      </c>
      <c r="L39" s="13">
        <f t="shared" si="1"/>
        <v>-0.0162612361</v>
      </c>
      <c r="N39" s="26" t="s">
        <v>18</v>
      </c>
      <c r="O39" s="13">
        <v>1.0587092555811436E-4</v>
      </c>
    </row>
    <row r="40">
      <c r="A40" s="26" t="s">
        <v>119</v>
      </c>
      <c r="B40" s="13">
        <f>VLOOKUP($A40,'PW k=2'!$A$2:$D$154,4,0)</f>
        <v>-0.01071617984</v>
      </c>
      <c r="C40" s="13">
        <f>VLOOKUP($A40,'PW k=3'!$A$2:$D$154,4,0)</f>
        <v>-0.04707047297</v>
      </c>
      <c r="D40" s="13">
        <f>VLOOKUP($A40,'PW k=4'!$A$2:$D$154,4,0)</f>
        <v>-0.08535883011</v>
      </c>
      <c r="E40" s="13">
        <f>VLOOKUP($A40,'PW k=5'!$A$2:$D$154,4,0)</f>
        <v>-0.06013054561</v>
      </c>
      <c r="G40" s="9">
        <f>VLOOKUP($A40,'PW k=2'!$A$2:$D$154,2,0)</f>
        <v>783</v>
      </c>
      <c r="H40" s="9">
        <f>VLOOKUP($A40,'PW k=3'!$A$2:$D$154,2,0)</f>
        <v>324</v>
      </c>
      <c r="I40" s="9">
        <f>VLOOKUP($A40,'PW k=4'!$A$2:$D$154,2,0)</f>
        <v>118</v>
      </c>
      <c r="J40" s="9">
        <f>VLOOKUP($A40,'PW k=5'!$A$2:$D$154,2,0)</f>
        <v>39</v>
      </c>
      <c r="L40" s="13">
        <f t="shared" si="1"/>
        <v>-0.02852771779</v>
      </c>
      <c r="N40" s="26" t="s">
        <v>172</v>
      </c>
      <c r="O40" s="13">
        <v>-0.0014720122769356163</v>
      </c>
    </row>
    <row r="41">
      <c r="A41" s="26" t="s">
        <v>125</v>
      </c>
      <c r="B41" s="13">
        <f>VLOOKUP($A41,'PW k=2'!$A$2:$D$154,4,0)</f>
        <v>-0.02817511265</v>
      </c>
      <c r="C41" s="13">
        <f>VLOOKUP($A41,'PW k=3'!$A$2:$D$154,4,0)</f>
        <v>-0.05553683242</v>
      </c>
      <c r="D41" s="13">
        <f>VLOOKUP($A41,'PW k=4'!$A$2:$D$154,4,0)</f>
        <v>-0.07624125615</v>
      </c>
      <c r="E41" s="13">
        <f>VLOOKUP($A41,'PW k=5'!$A$2:$D$154,4,0)</f>
        <v>-0.1749411052</v>
      </c>
      <c r="G41" s="9">
        <f>VLOOKUP($A41,'PW k=2'!$A$2:$D$154,2,0)</f>
        <v>410</v>
      </c>
      <c r="H41" s="9">
        <f>VLOOKUP($A41,'PW k=3'!$A$2:$D$154,2,0)</f>
        <v>173</v>
      </c>
      <c r="I41" s="9">
        <f>VLOOKUP($A41,'PW k=4'!$A$2:$D$154,2,0)</f>
        <v>67</v>
      </c>
      <c r="J41" s="9">
        <f>VLOOKUP($A41,'PW k=5'!$A$2:$D$154,2,0)</f>
        <v>26</v>
      </c>
      <c r="L41" s="13">
        <f t="shared" si="1"/>
        <v>-0.04558624422</v>
      </c>
      <c r="N41" s="26" t="s">
        <v>60</v>
      </c>
      <c r="O41" s="13">
        <v>-0.0015470537700770209</v>
      </c>
    </row>
    <row r="42">
      <c r="A42" s="26" t="s">
        <v>183</v>
      </c>
      <c r="B42" s="13">
        <f>VLOOKUP($A42,'PW k=2'!$A$2:$D$154,4,0)</f>
        <v>-0.02448574009</v>
      </c>
      <c r="C42" s="13">
        <f>VLOOKUP($A42,'PW k=3'!$A$2:$D$154,4,0)</f>
        <v>-0.09775748595</v>
      </c>
      <c r="D42" s="13">
        <f>VLOOKUP($A42,'PW k=4'!$A$2:$D$154,4,0)</f>
        <v>-0.1216662473</v>
      </c>
      <c r="E42" s="13">
        <f>VLOOKUP($A42,'PW k=5'!$A$2:$D$154,4,0)</f>
        <v>0.008535793258</v>
      </c>
      <c r="G42" s="9">
        <f>VLOOKUP($A42,'PW k=2'!$A$2:$D$154,2,0)</f>
        <v>285</v>
      </c>
      <c r="H42" s="9">
        <f>VLOOKUP($A42,'PW k=3'!$A$2:$D$154,2,0)</f>
        <v>109</v>
      </c>
      <c r="I42" s="9">
        <f>VLOOKUP($A42,'PW k=4'!$A$2:$D$154,2,0)</f>
        <v>35</v>
      </c>
      <c r="J42" s="9">
        <f>VLOOKUP($A42,'PW k=5'!$A$2:$D$154,2,0)</f>
        <v>10</v>
      </c>
      <c r="L42" s="13">
        <f t="shared" si="1"/>
        <v>-0.04967417453</v>
      </c>
      <c r="N42" s="26" t="s">
        <v>115</v>
      </c>
      <c r="O42" s="13">
        <v>-0.002197886199397303</v>
      </c>
    </row>
    <row r="43">
      <c r="A43" s="26" t="s">
        <v>129</v>
      </c>
      <c r="B43" s="13">
        <f>VLOOKUP($A43,'PW k=2'!$A$2:$D$154,4,0)</f>
        <v>-0.007114821735</v>
      </c>
      <c r="C43" s="13">
        <f>VLOOKUP($A43,'PW k=3'!$A$2:$D$154,4,0)</f>
        <v>-0.05556753931</v>
      </c>
      <c r="D43" s="13">
        <f>VLOOKUP($A43,'PW k=4'!$A$2:$D$154,4,0)</f>
        <v>-0.01560265409</v>
      </c>
      <c r="E43" s="13">
        <f>VLOOKUP($A43,'PW k=5'!$A$2:$D$154,4,0)</f>
        <v>-0.04074028742</v>
      </c>
      <c r="G43" s="9">
        <f>VLOOKUP($A43,'PW k=2'!$A$2:$D$154,2,0)</f>
        <v>335</v>
      </c>
      <c r="H43" s="9">
        <f>VLOOKUP($A43,'PW k=3'!$A$2:$D$154,2,0)</f>
        <v>132</v>
      </c>
      <c r="I43" s="9">
        <f>VLOOKUP($A43,'PW k=4'!$A$2:$D$154,2,0)</f>
        <v>48</v>
      </c>
      <c r="J43" s="9">
        <f>VLOOKUP($A43,'PW k=5'!$A$2:$D$154,2,0)</f>
        <v>18</v>
      </c>
      <c r="L43" s="13">
        <f t="shared" si="1"/>
        <v>-0.0210143209</v>
      </c>
      <c r="N43" s="26" t="s">
        <v>104</v>
      </c>
      <c r="O43" s="13">
        <v>-0.0022835698377044107</v>
      </c>
    </row>
    <row r="44">
      <c r="A44" s="26" t="s">
        <v>179</v>
      </c>
      <c r="B44" s="13">
        <f>VLOOKUP($A44,'PW k=2'!$A$2:$D$154,4,0)</f>
        <v>-0.03360820386</v>
      </c>
      <c r="C44" s="13">
        <f>VLOOKUP($A44,'PW k=3'!$A$2:$D$154,4,0)</f>
        <v>-0.04058321862</v>
      </c>
      <c r="D44" s="13">
        <f>VLOOKUP($A44,'PW k=4'!$A$2:$D$154,4,0)</f>
        <v>-0.07868775802</v>
      </c>
      <c r="E44" s="13">
        <f>VLOOKUP($A44,'PW k=5'!$A$2:$D$154,4,0)</f>
        <v>-0.08465648252</v>
      </c>
      <c r="G44" s="9">
        <f>VLOOKUP($A44,'PW k=2'!$A$2:$D$154,2,0)</f>
        <v>571</v>
      </c>
      <c r="H44" s="9">
        <f>VLOOKUP($A44,'PW k=3'!$A$2:$D$154,2,0)</f>
        <v>202</v>
      </c>
      <c r="I44" s="9">
        <f>VLOOKUP($A44,'PW k=4'!$A$2:$D$154,2,0)</f>
        <v>70</v>
      </c>
      <c r="J44" s="9">
        <f>VLOOKUP($A44,'PW k=5'!$A$2:$D$154,2,0)</f>
        <v>22</v>
      </c>
      <c r="L44" s="13">
        <f t="shared" si="1"/>
        <v>-0.04018344536</v>
      </c>
      <c r="N44" s="26" t="s">
        <v>107</v>
      </c>
      <c r="O44" s="13">
        <v>-0.0024960962852483572</v>
      </c>
    </row>
    <row r="45">
      <c r="A45" s="26" t="s">
        <v>26</v>
      </c>
      <c r="B45" s="13">
        <f>VLOOKUP($A45,'PW k=2'!$A$2:$D$154,4,0)</f>
        <v>-0.006255904802</v>
      </c>
      <c r="C45" s="13">
        <f>VLOOKUP($A45,'PW k=3'!$A$2:$D$154,4,0)</f>
        <v>-0.001035559321</v>
      </c>
      <c r="D45" s="13">
        <f>VLOOKUP($A45,'PW k=4'!$A$2:$D$154,4,0)</f>
        <v>0.01797904692</v>
      </c>
      <c r="E45" s="13">
        <f>VLOOKUP($A45,'PW k=5'!$A$2:$D$154,4,0)</f>
        <v>0.08891871679</v>
      </c>
      <c r="G45" s="9">
        <f>VLOOKUP($A45,'PW k=2'!$A$2:$D$154,2,0)</f>
        <v>333</v>
      </c>
      <c r="H45" s="9">
        <f>VLOOKUP($A45,'PW k=3'!$A$2:$D$154,2,0)</f>
        <v>124</v>
      </c>
      <c r="I45" s="9">
        <f>VLOOKUP($A45,'PW k=4'!$A$2:$D$154,2,0)</f>
        <v>50</v>
      </c>
      <c r="J45" s="9">
        <f>VLOOKUP($A45,'PW k=5'!$A$2:$D$154,2,0)</f>
        <v>22</v>
      </c>
      <c r="L45" s="13">
        <f t="shared" si="1"/>
        <v>0.001216518829</v>
      </c>
      <c r="N45" s="26" t="s">
        <v>79</v>
      </c>
      <c r="O45" s="13">
        <v>-0.0036331513806961303</v>
      </c>
    </row>
    <row r="46">
      <c r="A46" s="26" t="s">
        <v>176</v>
      </c>
      <c r="B46" s="13">
        <f>VLOOKUP($A46,'PW k=2'!$A$2:$D$154,4,0)</f>
        <v>-0.02864655055</v>
      </c>
      <c r="C46" s="13">
        <f>VLOOKUP($A46,'PW k=3'!$A$2:$D$154,4,0)</f>
        <v>-0.04283160979</v>
      </c>
      <c r="D46" s="13">
        <f>VLOOKUP($A46,'PW k=4'!$A$2:$D$154,4,0)</f>
        <v>-0.1516959392</v>
      </c>
      <c r="E46" s="13">
        <f>VLOOKUP($A46,'PW k=5'!$A$2:$D$154,4,0)</f>
        <v>-0.07449650888</v>
      </c>
      <c r="G46" s="9">
        <f>VLOOKUP($A46,'PW k=2'!$A$2:$D$154,2,0)</f>
        <v>595</v>
      </c>
      <c r="H46" s="9">
        <f>VLOOKUP($A46,'PW k=3'!$A$2:$D$154,2,0)</f>
        <v>235</v>
      </c>
      <c r="I46" s="9">
        <f>VLOOKUP($A46,'PW k=4'!$A$2:$D$154,2,0)</f>
        <v>93</v>
      </c>
      <c r="J46" s="9">
        <f>VLOOKUP($A46,'PW k=5'!$A$2:$D$154,2,0)</f>
        <v>26</v>
      </c>
      <c r="L46" s="13">
        <f t="shared" si="1"/>
        <v>-0.04547392777</v>
      </c>
      <c r="N46" s="26" t="s">
        <v>95</v>
      </c>
      <c r="O46" s="13">
        <v>-0.0037923654017694</v>
      </c>
    </row>
    <row r="47">
      <c r="A47" s="26" t="s">
        <v>164</v>
      </c>
      <c r="B47" s="13">
        <f>VLOOKUP($A47,'PW k=2'!$A$2:$D$154,4,0)</f>
        <v>-0.03546778756</v>
      </c>
      <c r="C47" s="13">
        <f>VLOOKUP($A47,'PW k=3'!$A$2:$D$154,4,0)</f>
        <v>-0.04448563788</v>
      </c>
      <c r="D47" s="13">
        <f>VLOOKUP($A47,'PW k=4'!$A$2:$D$154,4,0)</f>
        <v>-0.06977103506</v>
      </c>
      <c r="E47" s="13">
        <f>VLOOKUP($A47,'PW k=5'!$A$2:$D$154,4,0)</f>
        <v>-0.09434994548</v>
      </c>
      <c r="G47" s="9">
        <f>VLOOKUP($A47,'PW k=2'!$A$2:$D$154,2,0)</f>
        <v>599</v>
      </c>
      <c r="H47" s="9">
        <f>VLOOKUP($A47,'PW k=3'!$A$2:$D$154,2,0)</f>
        <v>260</v>
      </c>
      <c r="I47" s="9">
        <f>VLOOKUP($A47,'PW k=4'!$A$2:$D$154,2,0)</f>
        <v>108</v>
      </c>
      <c r="J47" s="9">
        <f>VLOOKUP($A47,'PW k=5'!$A$2:$D$154,2,0)</f>
        <v>42</v>
      </c>
      <c r="L47" s="13">
        <f t="shared" si="1"/>
        <v>-0.04391421219</v>
      </c>
      <c r="N47" s="26" t="s">
        <v>68</v>
      </c>
      <c r="O47" s="13">
        <v>-0.003862124508511766</v>
      </c>
    </row>
    <row r="48">
      <c r="A48" s="26" t="s">
        <v>168</v>
      </c>
      <c r="B48" s="13">
        <f>VLOOKUP($A48,'PW k=2'!$A$2:$D$154,4,0)</f>
        <v>-0.03886991018</v>
      </c>
      <c r="C48" s="13">
        <f>VLOOKUP($A48,'PW k=3'!$A$2:$D$154,4,0)</f>
        <v>-0.04943880272</v>
      </c>
      <c r="D48" s="13">
        <f>VLOOKUP($A48,'PW k=4'!$A$2:$D$154,4,0)</f>
        <v>-0.1058147308</v>
      </c>
      <c r="E48" s="13">
        <f>VLOOKUP($A48,'PW k=5'!$A$2:$D$154,4,0)</f>
        <v>-0.08169656449</v>
      </c>
      <c r="G48" s="9">
        <f>VLOOKUP($A48,'PW k=2'!$A$2:$D$154,2,0)</f>
        <v>573</v>
      </c>
      <c r="H48" s="9">
        <f>VLOOKUP($A48,'PW k=3'!$A$2:$D$154,2,0)</f>
        <v>272</v>
      </c>
      <c r="I48" s="9">
        <f>VLOOKUP($A48,'PW k=4'!$A$2:$D$154,2,0)</f>
        <v>125</v>
      </c>
      <c r="J48" s="9">
        <f>VLOOKUP($A48,'PW k=5'!$A$2:$D$154,2,0)</f>
        <v>51</v>
      </c>
      <c r="L48" s="13">
        <f t="shared" si="1"/>
        <v>-0.0520207434</v>
      </c>
      <c r="N48" s="26" t="s">
        <v>96</v>
      </c>
      <c r="O48" s="13">
        <v>-0.0048929072909988415</v>
      </c>
    </row>
    <row r="49">
      <c r="A49" s="26" t="s">
        <v>72</v>
      </c>
      <c r="B49" s="13">
        <f>VLOOKUP($A49,'PW k=2'!$A$2:$D$154,4,0)</f>
        <v>0.002546633476</v>
      </c>
      <c r="C49" s="13">
        <f>VLOOKUP($A49,'PW k=3'!$A$2:$D$154,4,0)</f>
        <v>0.03119296626</v>
      </c>
      <c r="D49" s="13">
        <f>VLOOKUP($A49,'PW k=4'!$A$2:$D$154,4,0)</f>
        <v>0.04439158976</v>
      </c>
      <c r="E49" s="13">
        <f>VLOOKUP($A49,'PW k=5'!$A$2:$D$154,4,0)</f>
        <v>0.0658680274</v>
      </c>
      <c r="G49" s="9">
        <f>VLOOKUP($A49,'PW k=2'!$A$2:$D$154,2,0)</f>
        <v>650</v>
      </c>
      <c r="H49" s="9">
        <f>VLOOKUP($A49,'PW k=3'!$A$2:$D$154,2,0)</f>
        <v>295</v>
      </c>
      <c r="I49" s="9">
        <f>VLOOKUP($A49,'PW k=4'!$A$2:$D$154,2,0)</f>
        <v>141</v>
      </c>
      <c r="J49" s="9">
        <f>VLOOKUP($A49,'PW k=5'!$A$2:$D$154,2,0)</f>
        <v>63</v>
      </c>
      <c r="L49" s="13">
        <f t="shared" si="1"/>
        <v>0.01850838702</v>
      </c>
      <c r="N49" s="26" t="s">
        <v>28</v>
      </c>
      <c r="O49" s="13">
        <v>-0.006088405779983136</v>
      </c>
    </row>
    <row r="50">
      <c r="A50" s="26" t="s">
        <v>60</v>
      </c>
      <c r="B50" s="13">
        <f>VLOOKUP($A50,'PW k=2'!$A$2:$D$154,4,0)</f>
        <v>0.007027905987</v>
      </c>
      <c r="C50" s="13">
        <f>VLOOKUP($A50,'PW k=3'!$A$2:$D$154,4,0)</f>
        <v>-0.01759433498</v>
      </c>
      <c r="D50" s="13">
        <f>VLOOKUP($A50,'PW k=4'!$A$2:$D$154,4,0)</f>
        <v>-0.0183598359</v>
      </c>
      <c r="E50" s="13">
        <f>VLOOKUP($A50,'PW k=5'!$A$2:$D$154,4,0)</f>
        <v>0.02540485106</v>
      </c>
      <c r="G50" s="9">
        <f>VLOOKUP($A50,'PW k=2'!$A$2:$D$154,2,0)</f>
        <v>634</v>
      </c>
      <c r="H50" s="9">
        <f>VLOOKUP($A50,'PW k=3'!$A$2:$D$154,2,0)</f>
        <v>304</v>
      </c>
      <c r="I50" s="9">
        <f>VLOOKUP($A50,'PW k=4'!$A$2:$D$154,2,0)</f>
        <v>139</v>
      </c>
      <c r="J50" s="9">
        <f>VLOOKUP($A50,'PW k=5'!$A$2:$D$154,2,0)</f>
        <v>66</v>
      </c>
      <c r="L50" s="13">
        <f t="shared" si="1"/>
        <v>-0.00154705377</v>
      </c>
      <c r="N50" s="26" t="s">
        <v>40</v>
      </c>
      <c r="O50" s="13">
        <v>-0.006310834553725673</v>
      </c>
    </row>
    <row r="51">
      <c r="A51" s="26" t="s">
        <v>84</v>
      </c>
      <c r="B51" s="13">
        <f>VLOOKUP($A51,'PW k=2'!$A$2:$D$154,4,0)</f>
        <v>0.005183313213</v>
      </c>
      <c r="C51" s="13">
        <f>VLOOKUP($A51,'PW k=3'!$A$2:$D$154,4,0)</f>
        <v>0.02006187462</v>
      </c>
      <c r="D51" s="13">
        <f>VLOOKUP($A51,'PW k=4'!$A$2:$D$154,4,0)</f>
        <v>-0.0007964743578</v>
      </c>
      <c r="E51" s="13">
        <f>VLOOKUP($A51,'PW k=5'!$A$2:$D$154,4,0)</f>
        <v>0.01849931664</v>
      </c>
      <c r="G51" s="9">
        <f>VLOOKUP($A51,'PW k=2'!$A$2:$D$154,2,0)</f>
        <v>592</v>
      </c>
      <c r="H51" s="9">
        <f>VLOOKUP($A51,'PW k=3'!$A$2:$D$154,2,0)</f>
        <v>258</v>
      </c>
      <c r="I51" s="9">
        <f>VLOOKUP($A51,'PW k=4'!$A$2:$D$154,2,0)</f>
        <v>112</v>
      </c>
      <c r="J51" s="9">
        <f>VLOOKUP($A51,'PW k=5'!$A$2:$D$154,2,0)</f>
        <v>46</v>
      </c>
      <c r="L51" s="13">
        <f t="shared" si="1"/>
        <v>0.008934770349</v>
      </c>
      <c r="N51" s="26" t="s">
        <v>144</v>
      </c>
      <c r="O51" s="13">
        <v>-0.006676165064000106</v>
      </c>
    </row>
    <row r="52">
      <c r="A52" s="26" t="s">
        <v>42</v>
      </c>
      <c r="B52" s="13">
        <f>VLOOKUP($A52,'PW k=2'!$A$2:$D$154,4,0)</f>
        <v>0.01447484703</v>
      </c>
      <c r="C52" s="13">
        <f>VLOOKUP($A52,'PW k=3'!$A$2:$D$154,4,0)</f>
        <v>0.04841800061</v>
      </c>
      <c r="D52" s="13">
        <f>VLOOKUP($A52,'PW k=4'!$A$2:$D$154,4,0)</f>
        <v>0.02815893213</v>
      </c>
      <c r="E52" s="13">
        <f>VLOOKUP($A52,'PW k=5'!$A$2:$D$154,4,0)</f>
        <v>0.04475039486</v>
      </c>
      <c r="G52" s="9">
        <f>VLOOKUP($A52,'PW k=2'!$A$2:$D$154,2,0)</f>
        <v>419</v>
      </c>
      <c r="H52" s="9">
        <f>VLOOKUP($A52,'PW k=3'!$A$2:$D$154,2,0)</f>
        <v>175</v>
      </c>
      <c r="I52" s="9">
        <f>VLOOKUP($A52,'PW k=4'!$A$2:$D$154,2,0)</f>
        <v>75</v>
      </c>
      <c r="J52" s="9">
        <f>VLOOKUP($A52,'PW k=5'!$A$2:$D$154,2,0)</f>
        <v>31</v>
      </c>
      <c r="L52" s="13">
        <f t="shared" si="1"/>
        <v>0.02576756166</v>
      </c>
      <c r="N52" s="26" t="s">
        <v>128</v>
      </c>
      <c r="O52" s="13">
        <v>-0.00685815297511977</v>
      </c>
    </row>
    <row r="53">
      <c r="A53" s="26" t="s">
        <v>150</v>
      </c>
      <c r="B53" s="13">
        <f>VLOOKUP($A53,'PW k=2'!$A$2:$D$154,4,0)</f>
        <v>-0.0239878589</v>
      </c>
      <c r="C53" s="13">
        <f>VLOOKUP($A53,'PW k=3'!$A$2:$D$154,4,0)</f>
        <v>-0.004855538186</v>
      </c>
      <c r="D53" s="13">
        <f>VLOOKUP($A53,'PW k=4'!$A$2:$D$154,4,0)</f>
        <v>-0.01602521347</v>
      </c>
      <c r="E53" s="13">
        <f>VLOOKUP($A53,'PW k=5'!$A$2:$D$154,4,0)</f>
        <v>-0.002365327014</v>
      </c>
      <c r="G53" s="9">
        <f>VLOOKUP($A53,'PW k=2'!$A$2:$D$154,2,0)</f>
        <v>297</v>
      </c>
      <c r="H53" s="9">
        <f>VLOOKUP($A53,'PW k=3'!$A$2:$D$154,2,0)</f>
        <v>110</v>
      </c>
      <c r="I53" s="9">
        <f>VLOOKUP($A53,'PW k=4'!$A$2:$D$154,2,0)</f>
        <v>43</v>
      </c>
      <c r="J53" s="9">
        <f>VLOOKUP($A53,'PW k=5'!$A$2:$D$154,2,0)</f>
        <v>16</v>
      </c>
      <c r="L53" s="13">
        <f t="shared" si="1"/>
        <v>-0.01799449078</v>
      </c>
      <c r="N53" s="26" t="s">
        <v>65</v>
      </c>
      <c r="O53" s="13">
        <v>-0.007061358489684715</v>
      </c>
    </row>
    <row r="54">
      <c r="A54" s="26" t="s">
        <v>83</v>
      </c>
      <c r="B54" s="13">
        <f>VLOOKUP($A54,'PW k=2'!$A$2:$D$154,4,0)</f>
        <v>0.01230355543</v>
      </c>
      <c r="C54" s="13">
        <f>VLOOKUP($A54,'PW k=3'!$A$2:$D$154,4,0)</f>
        <v>0.02186294625</v>
      </c>
      <c r="D54" s="13">
        <f>VLOOKUP($A54,'PW k=4'!$A$2:$D$154,4,0)</f>
        <v>0.03286171075</v>
      </c>
      <c r="E54" s="13">
        <f>VLOOKUP($A54,'PW k=5'!$A$2:$D$154,4,0)</f>
        <v>0.001020510966</v>
      </c>
      <c r="G54" s="9">
        <f>VLOOKUP($A54,'PW k=2'!$A$2:$D$154,2,0)</f>
        <v>432</v>
      </c>
      <c r="H54" s="9">
        <f>VLOOKUP($A54,'PW k=3'!$A$2:$D$154,2,0)</f>
        <v>176</v>
      </c>
      <c r="I54" s="9">
        <f>VLOOKUP($A54,'PW k=4'!$A$2:$D$154,2,0)</f>
        <v>70</v>
      </c>
      <c r="J54" s="9">
        <f>VLOOKUP($A54,'PW k=5'!$A$2:$D$154,2,0)</f>
        <v>27</v>
      </c>
      <c r="L54" s="13">
        <f t="shared" si="1"/>
        <v>0.01629913196</v>
      </c>
      <c r="N54" s="26" t="s">
        <v>101</v>
      </c>
      <c r="O54" s="13">
        <v>-0.007115867258484938</v>
      </c>
    </row>
    <row r="55">
      <c r="A55" s="26" t="s">
        <v>94</v>
      </c>
      <c r="B55" s="13">
        <f>VLOOKUP($A55,'PW k=2'!$A$2:$D$154,4,0)</f>
        <v>-0.0126627165</v>
      </c>
      <c r="C55" s="13">
        <f>VLOOKUP($A55,'PW k=3'!$A$2:$D$154,4,0)</f>
        <v>-0.01795192312</v>
      </c>
      <c r="D55" s="13">
        <f>VLOOKUP($A55,'PW k=4'!$A$2:$D$154,4,0)</f>
        <v>-0.0166503477</v>
      </c>
      <c r="E55" s="13">
        <f>VLOOKUP($A55,'PW k=5'!$A$2:$D$154,4,0)</f>
        <v>0.08814541407</v>
      </c>
      <c r="G55" s="9">
        <f>VLOOKUP($A55,'PW k=2'!$A$2:$D$154,2,0)</f>
        <v>289</v>
      </c>
      <c r="H55" s="9">
        <f>VLOOKUP($A55,'PW k=3'!$A$2:$D$154,2,0)</f>
        <v>109</v>
      </c>
      <c r="I55" s="9">
        <f>VLOOKUP($A55,'PW k=4'!$A$2:$D$154,2,0)</f>
        <v>38</v>
      </c>
      <c r="J55" s="9">
        <f>VLOOKUP($A55,'PW k=5'!$A$2:$D$154,2,0)</f>
        <v>12</v>
      </c>
      <c r="L55" s="13">
        <f t="shared" si="1"/>
        <v>-0.01158761815</v>
      </c>
      <c r="N55" s="26" t="s">
        <v>78</v>
      </c>
      <c r="O55" s="13">
        <v>-0.007872508226155745</v>
      </c>
    </row>
    <row r="56">
      <c r="A56" s="26" t="s">
        <v>106</v>
      </c>
      <c r="B56" s="13">
        <f>VLOOKUP($A56,'PW k=2'!$A$2:$D$154,4,0)</f>
        <v>-0.01792700017</v>
      </c>
      <c r="C56" s="13">
        <f>VLOOKUP($A56,'PW k=3'!$A$2:$D$154,4,0)</f>
        <v>-0.008318931028</v>
      </c>
      <c r="D56" s="13">
        <f>VLOOKUP($A56,'PW k=4'!$A$2:$D$154,4,0)</f>
        <v>-0.001120662537</v>
      </c>
      <c r="E56" s="13">
        <f>VLOOKUP($A56,'PW k=5'!$A$2:$D$154,4,0)</f>
        <v>0.01273543936</v>
      </c>
      <c r="G56" s="9">
        <f>VLOOKUP($A56,'PW k=2'!$A$2:$D$154,2,0)</f>
        <v>542</v>
      </c>
      <c r="H56" s="9">
        <f>VLOOKUP($A56,'PW k=3'!$A$2:$D$154,2,0)</f>
        <v>281</v>
      </c>
      <c r="I56" s="9">
        <f>VLOOKUP($A56,'PW k=4'!$A$2:$D$154,2,0)</f>
        <v>147</v>
      </c>
      <c r="J56" s="9">
        <f>VLOOKUP($A56,'PW k=5'!$A$2:$D$154,2,0)</f>
        <v>81</v>
      </c>
      <c r="L56" s="13">
        <f t="shared" si="1"/>
        <v>-0.01064435825</v>
      </c>
      <c r="N56" s="26" t="s">
        <v>100</v>
      </c>
      <c r="O56" s="13">
        <v>-0.008148579940841602</v>
      </c>
    </row>
    <row r="57">
      <c r="A57" s="26" t="s">
        <v>135</v>
      </c>
      <c r="B57" s="13">
        <f>VLOOKUP($A57,'PW k=2'!$A$2:$D$154,4,0)</f>
        <v>-0.02394556131</v>
      </c>
      <c r="C57" s="13">
        <f>VLOOKUP($A57,'PW k=3'!$A$2:$D$154,4,0)</f>
        <v>-0.04242600525</v>
      </c>
      <c r="D57" s="13">
        <f>VLOOKUP($A57,'PW k=4'!$A$2:$D$154,4,0)</f>
        <v>0.04891667659</v>
      </c>
      <c r="E57" s="13">
        <f>VLOOKUP($A57,'PW k=5'!$A$2:$D$154,4,0)</f>
        <v>-0.02134236508</v>
      </c>
      <c r="G57" s="9">
        <f>VLOOKUP($A57,'PW k=2'!$A$2:$D$154,2,0)</f>
        <v>547</v>
      </c>
      <c r="H57" s="9">
        <f>VLOOKUP($A57,'PW k=3'!$A$2:$D$154,2,0)</f>
        <v>213</v>
      </c>
      <c r="I57" s="9">
        <f>VLOOKUP($A57,'PW k=4'!$A$2:$D$154,2,0)</f>
        <v>78</v>
      </c>
      <c r="J57" s="9">
        <f>VLOOKUP($A57,'PW k=5'!$A$2:$D$154,2,0)</f>
        <v>36</v>
      </c>
      <c r="L57" s="13">
        <f t="shared" si="1"/>
        <v>-0.02183957153</v>
      </c>
      <c r="N57" s="26" t="s">
        <v>136</v>
      </c>
      <c r="O57" s="13">
        <v>-0.008257450750277177</v>
      </c>
    </row>
    <row r="58">
      <c r="A58" s="26" t="s">
        <v>181</v>
      </c>
      <c r="B58" s="13">
        <f>VLOOKUP($A58,'PW k=2'!$A$2:$D$154,4,0)</f>
        <v>-0.0449926354</v>
      </c>
      <c r="C58" s="13">
        <f>VLOOKUP($A58,'PW k=3'!$A$2:$D$154,4,0)</f>
        <v>-0.05166616854</v>
      </c>
      <c r="D58" s="13">
        <f>VLOOKUP($A58,'PW k=4'!$A$2:$D$154,4,0)</f>
        <v>-0.03582372084</v>
      </c>
      <c r="E58" s="13">
        <f>VLOOKUP($A58,'PW k=5'!$A$2:$D$154,4,0)</f>
        <v>-0.02061594947</v>
      </c>
      <c r="G58" s="9">
        <f>VLOOKUP($A58,'PW k=2'!$A$2:$D$154,2,0)</f>
        <v>820</v>
      </c>
      <c r="H58" s="9">
        <f>VLOOKUP($A58,'PW k=3'!$A$2:$D$154,2,0)</f>
        <v>359</v>
      </c>
      <c r="I58" s="9">
        <f>VLOOKUP($A58,'PW k=4'!$A$2:$D$154,2,0)</f>
        <v>155</v>
      </c>
      <c r="J58" s="9">
        <f>VLOOKUP($A58,'PW k=5'!$A$2:$D$154,2,0)</f>
        <v>72</v>
      </c>
      <c r="L58" s="13">
        <f t="shared" si="1"/>
        <v>-0.04443751111</v>
      </c>
      <c r="N58" s="26" t="s">
        <v>110</v>
      </c>
      <c r="O58" s="13">
        <v>-0.008580727214411246</v>
      </c>
    </row>
    <row r="59">
      <c r="A59" s="26" t="s">
        <v>114</v>
      </c>
      <c r="B59" s="13">
        <f>VLOOKUP($A59,'PW k=2'!$A$2:$D$154,4,0)</f>
        <v>-0.01856233667</v>
      </c>
      <c r="C59" s="13">
        <f>VLOOKUP($A59,'PW k=3'!$A$2:$D$154,4,0)</f>
        <v>-0.03409958583</v>
      </c>
      <c r="D59" s="13">
        <f>VLOOKUP($A59,'PW k=4'!$A$2:$D$154,4,0)</f>
        <v>-0.02972480816</v>
      </c>
      <c r="E59" s="13">
        <f>VLOOKUP($A59,'PW k=5'!$A$2:$D$154,4,0)</f>
        <v>-0.1277712781</v>
      </c>
      <c r="G59" s="9">
        <f>VLOOKUP($A59,'PW k=2'!$A$2:$D$154,2,0)</f>
        <v>683</v>
      </c>
      <c r="H59" s="9">
        <f>VLOOKUP($A59,'PW k=3'!$A$2:$D$154,2,0)</f>
        <v>263</v>
      </c>
      <c r="I59" s="9">
        <f>VLOOKUP($A59,'PW k=4'!$A$2:$D$154,2,0)</f>
        <v>100</v>
      </c>
      <c r="J59" s="9">
        <f>VLOOKUP($A59,'PW k=5'!$A$2:$D$154,2,0)</f>
        <v>38</v>
      </c>
      <c r="L59" s="13">
        <f t="shared" si="1"/>
        <v>-0.02719008893</v>
      </c>
      <c r="N59" s="26" t="s">
        <v>75</v>
      </c>
      <c r="O59" s="13">
        <v>-0.008809597532115767</v>
      </c>
    </row>
    <row r="60">
      <c r="A60" s="26" t="s">
        <v>152</v>
      </c>
      <c r="B60" s="13">
        <f>VLOOKUP($A60,'PW k=2'!$A$2:$D$154,4,0)</f>
        <v>-0.02744300201</v>
      </c>
      <c r="C60" s="13">
        <f>VLOOKUP($A60,'PW k=3'!$A$2:$D$154,4,0)</f>
        <v>-0.05333980061</v>
      </c>
      <c r="D60" s="13">
        <f>VLOOKUP($A60,'PW k=4'!$A$2:$D$154,4,0)</f>
        <v>0.006596944463</v>
      </c>
      <c r="E60" s="13">
        <f>VLOOKUP($A60,'PW k=5'!$A$2:$D$154,4,0)</f>
        <v>-0.1068564074</v>
      </c>
      <c r="G60" s="9">
        <f>VLOOKUP($A60,'PW k=2'!$A$2:$D$154,2,0)</f>
        <v>367</v>
      </c>
      <c r="H60" s="9">
        <f>VLOOKUP($A60,'PW k=3'!$A$2:$D$154,2,0)</f>
        <v>139</v>
      </c>
      <c r="I60" s="9">
        <f>VLOOKUP($A60,'PW k=4'!$A$2:$D$154,2,0)</f>
        <v>48</v>
      </c>
      <c r="J60" s="9">
        <f>VLOOKUP($A60,'PW k=5'!$A$2:$D$154,2,0)</f>
        <v>17</v>
      </c>
      <c r="L60" s="13">
        <f t="shared" si="1"/>
        <v>-0.03324994678</v>
      </c>
      <c r="N60" s="26" t="s">
        <v>16</v>
      </c>
      <c r="O60" s="13">
        <v>-0.009049236158824742</v>
      </c>
    </row>
    <row r="61">
      <c r="A61" s="26" t="s">
        <v>180</v>
      </c>
      <c r="B61" s="13">
        <f>VLOOKUP($A61,'PW k=2'!$A$2:$D$154,4,0)</f>
        <v>-0.0645211449</v>
      </c>
      <c r="C61" s="13">
        <f>VLOOKUP($A61,'PW k=3'!$A$2:$D$154,4,0)</f>
        <v>-0.0569433541</v>
      </c>
      <c r="D61" s="13">
        <f>VLOOKUP($A61,'PW k=4'!$A$2:$D$154,4,0)</f>
        <v>-0.1758713473</v>
      </c>
      <c r="E61" s="13">
        <f>VLOOKUP($A61,'PW k=5'!$A$2:$D$154,4,0)</f>
        <v>-0.1532302049</v>
      </c>
      <c r="G61" s="9">
        <f>VLOOKUP($A61,'PW k=2'!$A$2:$D$154,2,0)</f>
        <v>289</v>
      </c>
      <c r="H61" s="9">
        <f>VLOOKUP($A61,'PW k=3'!$A$2:$D$154,2,0)</f>
        <v>95</v>
      </c>
      <c r="I61" s="9">
        <f>VLOOKUP($A61,'PW k=4'!$A$2:$D$154,2,0)</f>
        <v>35</v>
      </c>
      <c r="J61" s="9">
        <f>VLOOKUP($A61,'PW k=5'!$A$2:$D$154,2,0)</f>
        <v>9</v>
      </c>
      <c r="L61" s="13">
        <f t="shared" si="1"/>
        <v>-0.0738102769</v>
      </c>
      <c r="N61" s="26" t="s">
        <v>131</v>
      </c>
      <c r="O61" s="13">
        <v>-0.0093022493980152</v>
      </c>
    </row>
    <row r="62">
      <c r="A62" s="26" t="s">
        <v>149</v>
      </c>
      <c r="B62" s="13">
        <f>VLOOKUP($A62,'PW k=2'!$A$2:$D$154,4,0)</f>
        <v>-0.01619304865</v>
      </c>
      <c r="C62" s="13">
        <f>VLOOKUP($A62,'PW k=3'!$A$2:$D$154,4,0)</f>
        <v>0.003292635827</v>
      </c>
      <c r="D62" s="13">
        <f>VLOOKUP($A62,'PW k=4'!$A$2:$D$154,4,0)</f>
        <v>-0.001121162999</v>
      </c>
      <c r="E62" s="13">
        <f>VLOOKUP($A62,'PW k=5'!$A$2:$D$154,4,0)</f>
        <v>-0.1333524322</v>
      </c>
      <c r="G62" s="9">
        <f>VLOOKUP($A62,'PW k=2'!$A$2:$D$154,2,0)</f>
        <v>444</v>
      </c>
      <c r="H62" s="9">
        <f>VLOOKUP($A62,'PW k=3'!$A$2:$D$154,2,0)</f>
        <v>171</v>
      </c>
      <c r="I62" s="9">
        <f>VLOOKUP($A62,'PW k=4'!$A$2:$D$154,2,0)</f>
        <v>69</v>
      </c>
      <c r="J62" s="9">
        <f>VLOOKUP($A62,'PW k=5'!$A$2:$D$154,2,0)</f>
        <v>27</v>
      </c>
      <c r="L62" s="13">
        <f t="shared" si="1"/>
        <v>-0.01449303627</v>
      </c>
      <c r="N62" s="26" t="s">
        <v>90</v>
      </c>
      <c r="O62" s="13">
        <v>-0.010330568866535914</v>
      </c>
    </row>
    <row r="63">
      <c r="A63" s="26" t="s">
        <v>14</v>
      </c>
      <c r="B63" s="13">
        <f>VLOOKUP($A63,'PW k=2'!$A$2:$D$154,4,0)</f>
        <v>0.03430510909</v>
      </c>
      <c r="C63" s="13">
        <f>VLOOKUP($A63,'PW k=3'!$A$2:$D$154,4,0)</f>
        <v>0.0449356723</v>
      </c>
      <c r="D63" s="13">
        <f>VLOOKUP($A63,'PW k=4'!$A$2:$D$154,4,0)</f>
        <v>0.009109900178</v>
      </c>
      <c r="E63" s="13">
        <f>VLOOKUP($A63,'PW k=5'!$A$2:$D$154,4,0)</f>
        <v>0.03487032112</v>
      </c>
      <c r="G63" s="9">
        <f>VLOOKUP($A63,'PW k=2'!$A$2:$D$154,2,0)</f>
        <v>418</v>
      </c>
      <c r="H63" s="9">
        <f>VLOOKUP($A63,'PW k=3'!$A$2:$D$154,2,0)</f>
        <v>175</v>
      </c>
      <c r="I63" s="9">
        <f>VLOOKUP($A63,'PW k=4'!$A$2:$D$154,2,0)</f>
        <v>73</v>
      </c>
      <c r="J63" s="9">
        <f>VLOOKUP($A63,'PW k=5'!$A$2:$D$154,2,0)</f>
        <v>27</v>
      </c>
      <c r="L63" s="13">
        <f t="shared" si="1"/>
        <v>0.03435757523</v>
      </c>
      <c r="N63" s="26" t="s">
        <v>88</v>
      </c>
      <c r="O63" s="13">
        <v>-0.010411617587469599</v>
      </c>
    </row>
    <row r="64">
      <c r="A64" s="26" t="s">
        <v>104</v>
      </c>
      <c r="B64" s="13">
        <f>VLOOKUP($A64,'PW k=2'!$A$2:$D$154,4,0)</f>
        <v>-0.004249962496</v>
      </c>
      <c r="C64" s="13">
        <f>VLOOKUP($A64,'PW k=3'!$A$2:$D$154,4,0)</f>
        <v>0.009321283128</v>
      </c>
      <c r="D64" s="13">
        <f>VLOOKUP($A64,'PW k=4'!$A$2:$D$154,4,0)</f>
        <v>-0.009464344431</v>
      </c>
      <c r="E64" s="13">
        <f>VLOOKUP($A64,'PW k=5'!$A$2:$D$154,4,0)</f>
        <v>-0.03206078531</v>
      </c>
      <c r="G64" s="9">
        <f>VLOOKUP($A64,'PW k=2'!$A$2:$D$154,2,0)</f>
        <v>537</v>
      </c>
      <c r="H64" s="9">
        <f>VLOOKUP($A64,'PW k=3'!$A$2:$D$154,2,0)</f>
        <v>218</v>
      </c>
      <c r="I64" s="9">
        <f>VLOOKUP($A64,'PW k=4'!$A$2:$D$154,2,0)</f>
        <v>85</v>
      </c>
      <c r="J64" s="9">
        <f>VLOOKUP($A64,'PW k=5'!$A$2:$D$154,2,0)</f>
        <v>29</v>
      </c>
      <c r="L64" s="13">
        <f t="shared" si="1"/>
        <v>-0.002283569838</v>
      </c>
      <c r="N64" s="26" t="s">
        <v>118</v>
      </c>
      <c r="O64" s="13">
        <v>-0.010558107747782793</v>
      </c>
    </row>
    <row r="65">
      <c r="A65" s="26" t="s">
        <v>103</v>
      </c>
      <c r="B65" s="13">
        <f>VLOOKUP($A65,'PW k=2'!$A$2:$D$154,4,0)</f>
        <v>-0.04049346236</v>
      </c>
      <c r="C65" s="13">
        <f>VLOOKUP($A65,'PW k=3'!$A$2:$D$154,4,0)</f>
        <v>-0.05419444468</v>
      </c>
      <c r="D65" s="13">
        <f>VLOOKUP($A65,'PW k=4'!$A$2:$D$154,4,0)</f>
        <v>0.07362429307</v>
      </c>
      <c r="E65" s="13">
        <f>VLOOKUP($A65,'PW k=5'!$A$2:$D$154,4,0)</f>
        <v>-0.1226374969</v>
      </c>
      <c r="G65" s="9">
        <f>VLOOKUP($A65,'PW k=2'!$A$2:$D$154,2,0)</f>
        <v>387</v>
      </c>
      <c r="H65" s="9">
        <f>VLOOKUP($A65,'PW k=3'!$A$2:$D$154,2,0)</f>
        <v>125</v>
      </c>
      <c r="I65" s="9">
        <f>VLOOKUP($A65,'PW k=4'!$A$2:$D$154,2,0)</f>
        <v>40</v>
      </c>
      <c r="J65" s="9">
        <f>VLOOKUP($A65,'PW k=5'!$A$2:$D$154,2,0)</f>
        <v>17</v>
      </c>
      <c r="L65" s="13">
        <f t="shared" si="1"/>
        <v>-0.03793522187</v>
      </c>
      <c r="N65" s="26" t="s">
        <v>133</v>
      </c>
      <c r="O65" s="13">
        <v>-0.010619635039995327</v>
      </c>
    </row>
    <row r="66">
      <c r="A66" s="26" t="s">
        <v>78</v>
      </c>
      <c r="B66" s="13">
        <f>VLOOKUP($A66,'PW k=2'!$A$2:$D$154,4,0)</f>
        <v>0.003055931124</v>
      </c>
      <c r="C66" s="13">
        <f>VLOOKUP($A66,'PW k=3'!$A$2:$D$154,4,0)</f>
        <v>-0.02262054448</v>
      </c>
      <c r="D66" s="13">
        <f>VLOOKUP($A66,'PW k=4'!$A$2:$D$154,4,0)</f>
        <v>-0.05245017247</v>
      </c>
      <c r="E66" s="13">
        <f>VLOOKUP($A66,'PW k=5'!$A$2:$D$154,4,0)</f>
        <v>0.0007065641113</v>
      </c>
      <c r="G66" s="9">
        <f>VLOOKUP($A66,'PW k=2'!$A$2:$D$154,2,0)</f>
        <v>536</v>
      </c>
      <c r="H66" s="9">
        <f>VLOOKUP($A66,'PW k=3'!$A$2:$D$154,2,0)</f>
        <v>202</v>
      </c>
      <c r="I66" s="9">
        <f>VLOOKUP($A66,'PW k=4'!$A$2:$D$154,2,0)</f>
        <v>69</v>
      </c>
      <c r="J66" s="9">
        <f>VLOOKUP($A66,'PW k=5'!$A$2:$D$154,2,0)</f>
        <v>23</v>
      </c>
      <c r="L66" s="13">
        <f t="shared" si="1"/>
        <v>-0.007872508226</v>
      </c>
      <c r="N66" s="26" t="s">
        <v>106</v>
      </c>
      <c r="O66" s="13">
        <v>-0.010644358245435664</v>
      </c>
    </row>
    <row r="67">
      <c r="A67" s="26" t="s">
        <v>32</v>
      </c>
      <c r="B67" s="13">
        <f>VLOOKUP($A67,'PW k=2'!$A$2:$D$154,4,0)</f>
        <v>0.00500516874</v>
      </c>
      <c r="C67" s="13">
        <f>VLOOKUP($A67,'PW k=3'!$A$2:$D$154,4,0)</f>
        <v>0.002124714198</v>
      </c>
      <c r="D67" s="13">
        <f>VLOOKUP($A67,'PW k=4'!$A$2:$D$154,4,0)</f>
        <v>-0.01664540829</v>
      </c>
      <c r="E67" s="13">
        <f>VLOOKUP($A67,'PW k=5'!$A$2:$D$154,4,0)</f>
        <v>0.0149630103</v>
      </c>
      <c r="G67" s="9">
        <f>VLOOKUP($A67,'PW k=2'!$A$2:$D$154,2,0)</f>
        <v>379</v>
      </c>
      <c r="H67" s="9">
        <f>VLOOKUP($A67,'PW k=3'!$A$2:$D$154,2,0)</f>
        <v>139</v>
      </c>
      <c r="I67" s="9">
        <f>VLOOKUP($A67,'PW k=4'!$A$2:$D$154,2,0)</f>
        <v>52</v>
      </c>
      <c r="J67" s="9">
        <f>VLOOKUP($A67,'PW k=5'!$A$2:$D$154,2,0)</f>
        <v>19</v>
      </c>
      <c r="L67" s="13">
        <f t="shared" si="1"/>
        <v>0.00273519557</v>
      </c>
      <c r="N67" s="26" t="s">
        <v>108</v>
      </c>
      <c r="O67" s="13">
        <v>-0.01068542134401762</v>
      </c>
    </row>
    <row r="68">
      <c r="A68" s="26" t="s">
        <v>86</v>
      </c>
      <c r="B68" s="13">
        <f>VLOOKUP($A68,'PW k=2'!$A$2:$D$154,4,0)</f>
        <v>-0.0008671053701</v>
      </c>
      <c r="C68" s="13">
        <f>VLOOKUP($A68,'PW k=3'!$A$2:$D$154,4,0)</f>
        <v>-0.02657977508</v>
      </c>
      <c r="D68" s="13">
        <f>VLOOKUP($A68,'PW k=4'!$A$2:$D$154,4,0)</f>
        <v>-0.03385416446</v>
      </c>
      <c r="E68" s="13">
        <f>VLOOKUP($A68,'PW k=5'!$A$2:$D$154,4,0)</f>
        <v>-0.05239681121</v>
      </c>
      <c r="G68" s="9">
        <f>VLOOKUP($A68,'PW k=2'!$A$2:$D$154,2,0)</f>
        <v>422</v>
      </c>
      <c r="H68" s="9">
        <f>VLOOKUP($A68,'PW k=3'!$A$2:$D$154,2,0)</f>
        <v>154</v>
      </c>
      <c r="I68" s="9">
        <f>VLOOKUP($A68,'PW k=4'!$A$2:$D$154,2,0)</f>
        <v>52</v>
      </c>
      <c r="J68" s="9">
        <f>VLOOKUP($A68,'PW k=5'!$A$2:$D$154,2,0)</f>
        <v>18</v>
      </c>
      <c r="L68" s="13">
        <f t="shared" si="1"/>
        <v>-0.01108786839</v>
      </c>
      <c r="N68" s="26" t="s">
        <v>111</v>
      </c>
      <c r="O68" s="13">
        <v>-0.010769613112828985</v>
      </c>
    </row>
    <row r="69">
      <c r="A69" s="26" t="s">
        <v>121</v>
      </c>
      <c r="B69" s="13">
        <f>VLOOKUP($A69,'PW k=2'!$A$2:$D$154,4,0)</f>
        <v>-0.03873029647</v>
      </c>
      <c r="C69" s="13">
        <f>VLOOKUP($A69,'PW k=3'!$A$2:$D$154,4,0)</f>
        <v>-0.07063565244</v>
      </c>
      <c r="D69" s="13">
        <f>VLOOKUP($A69,'PW k=4'!$A$2:$D$154,4,0)</f>
        <v>-0.0493523931</v>
      </c>
      <c r="E69" s="13">
        <f>VLOOKUP($A69,'PW k=5'!$A$2:$D$154,4,0)</f>
        <v>-0.0474441668</v>
      </c>
      <c r="G69" s="9">
        <f>VLOOKUP($A69,'PW k=2'!$A$2:$D$154,2,0)</f>
        <v>325</v>
      </c>
      <c r="H69" s="9">
        <f>VLOOKUP($A69,'PW k=3'!$A$2:$D$154,2,0)</f>
        <v>118</v>
      </c>
      <c r="I69" s="9">
        <f>VLOOKUP($A69,'PW k=4'!$A$2:$D$154,2,0)</f>
        <v>39</v>
      </c>
      <c r="J69" s="9">
        <f>VLOOKUP($A69,'PW k=5'!$A$2:$D$154,2,0)</f>
        <v>12</v>
      </c>
      <c r="L69" s="13">
        <f t="shared" si="1"/>
        <v>-0.04740167343</v>
      </c>
      <c r="N69" s="26" t="s">
        <v>86</v>
      </c>
      <c r="O69" s="13">
        <v>-0.011087868393522706</v>
      </c>
    </row>
    <row r="70">
      <c r="A70" s="26" t="s">
        <v>102</v>
      </c>
      <c r="B70" s="13">
        <f>VLOOKUP($A70,'PW k=2'!$A$2:$D$154,4,0)</f>
        <v>-0.002287861116</v>
      </c>
      <c r="C70" s="13">
        <f>VLOOKUP($A70,'PW k=3'!$A$2:$D$154,4,0)</f>
        <v>-0.02692460565</v>
      </c>
      <c r="D70" s="13">
        <f>VLOOKUP($A70,'PW k=4'!$A$2:$D$154,4,0)</f>
        <v>-0.07192580261</v>
      </c>
      <c r="E70" s="13">
        <f>VLOOKUP($A70,'PW k=5'!$A$2:$D$154,4,0)</f>
        <v>-0.02438364477</v>
      </c>
      <c r="G70" s="9">
        <f>VLOOKUP($A70,'PW k=2'!$A$2:$D$154,2,0)</f>
        <v>371</v>
      </c>
      <c r="H70" s="9">
        <f>VLOOKUP($A70,'PW k=3'!$A$2:$D$154,2,0)</f>
        <v>143</v>
      </c>
      <c r="I70" s="9">
        <f>VLOOKUP($A70,'PW k=4'!$A$2:$D$154,2,0)</f>
        <v>55</v>
      </c>
      <c r="J70" s="9">
        <f>VLOOKUP($A70,'PW k=5'!$A$2:$D$154,2,0)</f>
        <v>17</v>
      </c>
      <c r="L70" s="13">
        <f t="shared" si="1"/>
        <v>-0.01547688769</v>
      </c>
      <c r="N70" s="26" t="s">
        <v>124</v>
      </c>
      <c r="O70" s="13">
        <v>-0.011566588067977274</v>
      </c>
    </row>
    <row r="71">
      <c r="A71" s="26" t="s">
        <v>52</v>
      </c>
      <c r="B71" s="13">
        <f>VLOOKUP($A71,'PW k=2'!$A$2:$D$154,4,0)</f>
        <v>0.004526634239</v>
      </c>
      <c r="C71" s="13">
        <f>VLOOKUP($A71,'PW k=3'!$A$2:$D$154,4,0)</f>
        <v>0.01541271261</v>
      </c>
      <c r="D71" s="13">
        <f>VLOOKUP($A71,'PW k=4'!$A$2:$D$154,4,0)</f>
        <v>0.03506804721</v>
      </c>
      <c r="E71" s="13">
        <f>VLOOKUP($A71,'PW k=5'!$A$2:$D$154,4,0)</f>
        <v>0.02543585067</v>
      </c>
      <c r="G71" s="9">
        <f>VLOOKUP($A71,'PW k=2'!$A$2:$D$154,2,0)</f>
        <v>428</v>
      </c>
      <c r="H71" s="9">
        <f>VLOOKUP($A71,'PW k=3'!$A$2:$D$154,2,0)</f>
        <v>176</v>
      </c>
      <c r="I71" s="9">
        <f>VLOOKUP($A71,'PW k=4'!$A$2:$D$154,2,0)</f>
        <v>71</v>
      </c>
      <c r="J71" s="9">
        <f>VLOOKUP($A71,'PW k=5'!$A$2:$D$154,2,0)</f>
        <v>29</v>
      </c>
      <c r="L71" s="13">
        <f t="shared" si="1"/>
        <v>0.0111896419</v>
      </c>
      <c r="N71" s="26" t="s">
        <v>94</v>
      </c>
      <c r="O71" s="13">
        <v>-0.011587618154885345</v>
      </c>
    </row>
    <row r="72">
      <c r="A72" s="26" t="s">
        <v>134</v>
      </c>
      <c r="B72" s="13">
        <f>VLOOKUP($A72,'PW k=2'!$A$2:$D$154,4,0)</f>
        <v>-0.03835998645</v>
      </c>
      <c r="C72" s="13">
        <f>VLOOKUP($A72,'PW k=3'!$A$2:$D$154,4,0)</f>
        <v>-0.06221310656</v>
      </c>
      <c r="D72" s="13">
        <f>VLOOKUP($A72,'PW k=4'!$A$2:$D$154,4,0)</f>
        <v>-0.07419288583</v>
      </c>
      <c r="E72" s="13">
        <f>VLOOKUP($A72,'PW k=5'!$A$2:$D$154,4,0)</f>
        <v>-0.112473717</v>
      </c>
      <c r="G72" s="9">
        <f>VLOOKUP($A72,'PW k=2'!$A$2:$D$154,2,0)</f>
        <v>485</v>
      </c>
      <c r="H72" s="9">
        <f>VLOOKUP($A72,'PW k=3'!$A$2:$D$154,2,0)</f>
        <v>184</v>
      </c>
      <c r="I72" s="9">
        <f>VLOOKUP($A72,'PW k=4'!$A$2:$D$154,2,0)</f>
        <v>65</v>
      </c>
      <c r="J72" s="9">
        <f>VLOOKUP($A72,'PW k=5'!$A$2:$D$154,2,0)</f>
        <v>22</v>
      </c>
      <c r="L72" s="13">
        <f t="shared" si="1"/>
        <v>-0.04940312749</v>
      </c>
      <c r="N72" s="26" t="s">
        <v>126</v>
      </c>
      <c r="O72" s="13">
        <v>-0.011641541331676495</v>
      </c>
    </row>
    <row r="73">
      <c r="A73" s="26" t="s">
        <v>172</v>
      </c>
      <c r="B73" s="13">
        <f>VLOOKUP($A73,'PW k=2'!$A$2:$D$154,4,0)</f>
        <v>-0.01393547684</v>
      </c>
      <c r="C73" s="13">
        <f>VLOOKUP($A73,'PW k=3'!$A$2:$D$154,4,0)</f>
        <v>0.006361373724</v>
      </c>
      <c r="D73" s="13">
        <f>VLOOKUP($A73,'PW k=4'!$A$2:$D$154,4,0)</f>
        <v>0.03371253887</v>
      </c>
      <c r="E73" s="13">
        <f>VLOOKUP($A73,'PW k=5'!$A$2:$D$154,4,0)</f>
        <v>0.004480098586</v>
      </c>
      <c r="G73" s="9">
        <f>VLOOKUP($A73,'PW k=2'!$A$2:$D$154,2,0)</f>
        <v>501</v>
      </c>
      <c r="H73" s="9">
        <f>VLOOKUP($A73,'PW k=3'!$A$2:$D$154,2,0)</f>
        <v>235</v>
      </c>
      <c r="I73" s="9">
        <f>VLOOKUP($A73,'PW k=4'!$A$2:$D$154,2,0)</f>
        <v>115</v>
      </c>
      <c r="J73" s="9">
        <f>VLOOKUP($A73,'PW k=5'!$A$2:$D$154,2,0)</f>
        <v>60</v>
      </c>
      <c r="L73" s="13">
        <f t="shared" si="1"/>
        <v>-0.001472012277</v>
      </c>
      <c r="N73" s="26" t="s">
        <v>171</v>
      </c>
      <c r="O73" s="13">
        <v>-0.01213381083503042</v>
      </c>
    </row>
    <row r="74">
      <c r="A74" s="26" t="s">
        <v>155</v>
      </c>
      <c r="B74" s="13">
        <f>VLOOKUP($A74,'PW k=2'!$A$2:$D$154,4,0)</f>
        <v>-0.0176461759</v>
      </c>
      <c r="C74" s="13">
        <f>VLOOKUP($A74,'PW k=3'!$A$2:$D$154,4,0)</f>
        <v>-0.063548791</v>
      </c>
      <c r="D74" s="13">
        <f>VLOOKUP($A74,'PW k=4'!$A$2:$D$154,4,0)</f>
        <v>-0.1614020905</v>
      </c>
      <c r="E74" s="13">
        <f>VLOOKUP($A74,'PW k=5'!$A$2:$D$154,4,0)</f>
        <v>-0.09701372162</v>
      </c>
      <c r="G74" s="9">
        <f>VLOOKUP($A74,'PW k=2'!$A$2:$D$154,2,0)</f>
        <v>487</v>
      </c>
      <c r="H74" s="9">
        <f>VLOOKUP($A74,'PW k=3'!$A$2:$D$154,2,0)</f>
        <v>209</v>
      </c>
      <c r="I74" s="9">
        <f>VLOOKUP($A74,'PW k=4'!$A$2:$D$154,2,0)</f>
        <v>80</v>
      </c>
      <c r="J74" s="9">
        <f>VLOOKUP($A74,'PW k=5'!$A$2:$D$154,2,0)</f>
        <v>25</v>
      </c>
      <c r="L74" s="13">
        <f t="shared" si="1"/>
        <v>-0.04645804653</v>
      </c>
      <c r="N74" s="26" t="s">
        <v>63</v>
      </c>
      <c r="O74" s="13">
        <v>-0.01262106929467589</v>
      </c>
    </row>
    <row r="75">
      <c r="A75" s="26" t="s">
        <v>38</v>
      </c>
      <c r="B75" s="13">
        <f>VLOOKUP($A75,'PW k=2'!$A$2:$D$154,4,0)</f>
        <v>0.02853408184</v>
      </c>
      <c r="C75" s="13">
        <f>VLOOKUP($A75,'PW k=3'!$A$2:$D$154,4,0)</f>
        <v>-0.0009467799059</v>
      </c>
      <c r="D75" s="13">
        <f>VLOOKUP($A75,'PW k=4'!$A$2:$D$154,4,0)</f>
        <v>0.04244180276</v>
      </c>
      <c r="E75" s="13">
        <f>VLOOKUP($A75,'PW k=5'!$A$2:$D$154,4,0)</f>
        <v>0.054721592</v>
      </c>
      <c r="G75" s="9">
        <f>VLOOKUP($A75,'PW k=2'!$A$2:$D$154,2,0)</f>
        <v>343</v>
      </c>
      <c r="H75" s="9">
        <f>VLOOKUP($A75,'PW k=3'!$A$2:$D$154,2,0)</f>
        <v>141</v>
      </c>
      <c r="I75" s="9">
        <f>VLOOKUP($A75,'PW k=4'!$A$2:$D$154,2,0)</f>
        <v>54</v>
      </c>
      <c r="J75" s="9">
        <f>VLOOKUP($A75,'PW k=5'!$A$2:$D$154,2,0)</f>
        <v>22</v>
      </c>
      <c r="L75" s="13">
        <f t="shared" si="1"/>
        <v>0.02348111871</v>
      </c>
      <c r="N75" s="26" t="s">
        <v>70</v>
      </c>
      <c r="O75" s="13">
        <v>-0.01370822602621102</v>
      </c>
    </row>
    <row r="76">
      <c r="A76" s="26" t="s">
        <v>141</v>
      </c>
      <c r="B76" s="13">
        <f>VLOOKUP($A76,'PW k=2'!$A$2:$D$154,4,0)</f>
        <v>-0.02823767919</v>
      </c>
      <c r="C76" s="13">
        <f>VLOOKUP($A76,'PW k=3'!$A$2:$D$154,4,0)</f>
        <v>0.01438203019</v>
      </c>
      <c r="D76" s="13">
        <f>VLOOKUP($A76,'PW k=4'!$A$2:$D$154,4,0)</f>
        <v>0.1024990444</v>
      </c>
      <c r="E76" s="13">
        <f>VLOOKUP($A76,'PW k=5'!$A$2:$D$154,4,0)</f>
        <v>0.2020406488</v>
      </c>
      <c r="G76" s="9">
        <f>VLOOKUP($A76,'PW k=2'!$A$2:$D$154,2,0)</f>
        <v>359</v>
      </c>
      <c r="H76" s="9">
        <f>VLOOKUP($A76,'PW k=3'!$A$2:$D$154,2,0)</f>
        <v>137</v>
      </c>
      <c r="I76" s="9">
        <f>VLOOKUP($A76,'PW k=4'!$A$2:$D$154,2,0)</f>
        <v>56</v>
      </c>
      <c r="J76" s="9">
        <f>VLOOKUP($A76,'PW k=5'!$A$2:$D$154,2,0)</f>
        <v>26</v>
      </c>
      <c r="L76" s="13">
        <f t="shared" si="1"/>
        <v>0.004889298724</v>
      </c>
      <c r="N76" s="26" t="s">
        <v>149</v>
      </c>
      <c r="O76" s="13">
        <v>-0.014493036272586102</v>
      </c>
    </row>
    <row r="77">
      <c r="A77" s="26" t="s">
        <v>85</v>
      </c>
      <c r="B77" s="13">
        <f>VLOOKUP($A77,'PW k=2'!$A$2:$D$154,4,0)</f>
        <v>0.004859484138</v>
      </c>
      <c r="C77" s="13">
        <f>VLOOKUP($A77,'PW k=3'!$A$2:$D$154,4,0)</f>
        <v>0.03353825415</v>
      </c>
      <c r="D77" s="13">
        <f>VLOOKUP($A77,'PW k=4'!$A$2:$D$154,4,0)</f>
        <v>0.06396798945</v>
      </c>
      <c r="E77" s="13">
        <f>VLOOKUP($A77,'PW k=5'!$A$2:$D$154,4,0)</f>
        <v>0.05812839236</v>
      </c>
      <c r="G77" s="9">
        <f>VLOOKUP($A77,'PW k=2'!$A$2:$D$154,2,0)</f>
        <v>699</v>
      </c>
      <c r="H77" s="9">
        <f>VLOOKUP($A77,'PW k=3'!$A$2:$D$154,2,0)</f>
        <v>305</v>
      </c>
      <c r="I77" s="9">
        <f>VLOOKUP($A77,'PW k=4'!$A$2:$D$154,2,0)</f>
        <v>141</v>
      </c>
      <c r="J77" s="9">
        <f>VLOOKUP($A77,'PW k=5'!$A$2:$D$154,2,0)</f>
        <v>66</v>
      </c>
      <c r="L77" s="13">
        <f t="shared" si="1"/>
        <v>0.02186780127</v>
      </c>
      <c r="N77" s="26" t="s">
        <v>102</v>
      </c>
      <c r="O77" s="13">
        <v>-0.015476887690970149</v>
      </c>
    </row>
    <row r="78">
      <c r="A78" s="26" t="s">
        <v>90</v>
      </c>
      <c r="B78" s="13">
        <f>VLOOKUP($A78,'PW k=2'!$A$2:$D$154,4,0)</f>
        <v>-0.01187336014</v>
      </c>
      <c r="C78" s="13">
        <f>VLOOKUP($A78,'PW k=3'!$A$2:$D$154,4,0)</f>
        <v>0.01101230939</v>
      </c>
      <c r="D78" s="13">
        <f>VLOOKUP($A78,'PW k=4'!$A$2:$D$154,4,0)</f>
        <v>-0.05530042928</v>
      </c>
      <c r="E78" s="13">
        <f>VLOOKUP($A78,'PW k=5'!$A$2:$D$154,4,0)</f>
        <v>-0.01036320099</v>
      </c>
      <c r="G78" s="9">
        <f>VLOOKUP($A78,'PW k=2'!$A$2:$D$154,2,0)</f>
        <v>274</v>
      </c>
      <c r="H78" s="9">
        <f>VLOOKUP($A78,'PW k=3'!$A$2:$D$154,2,0)</f>
        <v>102</v>
      </c>
      <c r="I78" s="9">
        <f>VLOOKUP($A78,'PW k=4'!$A$2:$D$154,2,0)</f>
        <v>39</v>
      </c>
      <c r="J78" s="9">
        <f>VLOOKUP($A78,'PW k=5'!$A$2:$D$154,2,0)</f>
        <v>13</v>
      </c>
      <c r="L78" s="13">
        <f t="shared" si="1"/>
        <v>-0.01033056887</v>
      </c>
      <c r="N78" s="26" t="s">
        <v>146</v>
      </c>
      <c r="O78" s="13">
        <v>-0.015502445727806366</v>
      </c>
    </row>
    <row r="79">
      <c r="A79" s="26" t="s">
        <v>98</v>
      </c>
      <c r="B79" s="13">
        <f>VLOOKUP($A79,'PW k=2'!$A$2:$D$154,4,0)</f>
        <v>-0.01873936409</v>
      </c>
      <c r="C79" s="13">
        <f>VLOOKUP($A79,'PW k=3'!$A$2:$D$154,4,0)</f>
        <v>-0.05726256355</v>
      </c>
      <c r="D79" s="13">
        <f>VLOOKUP($A79,'PW k=4'!$A$2:$D$154,4,0)</f>
        <v>-0.129707469</v>
      </c>
      <c r="E79" s="13">
        <f>VLOOKUP($A79,'PW k=5'!$A$2:$D$154,4,0)</f>
        <v>-0.04924879865</v>
      </c>
      <c r="G79" s="9">
        <f>VLOOKUP($A79,'PW k=2'!$A$2:$D$154,2,0)</f>
        <v>465</v>
      </c>
      <c r="H79" s="9">
        <f>VLOOKUP($A79,'PW k=3'!$A$2:$D$154,2,0)</f>
        <v>224</v>
      </c>
      <c r="I79" s="9">
        <f>VLOOKUP($A79,'PW k=4'!$A$2:$D$154,2,0)</f>
        <v>95</v>
      </c>
      <c r="J79" s="9">
        <f>VLOOKUP($A79,'PW k=5'!$A$2:$D$154,2,0)</f>
        <v>32</v>
      </c>
      <c r="L79" s="13">
        <f t="shared" si="1"/>
        <v>-0.04342988928</v>
      </c>
      <c r="N79" s="26" t="s">
        <v>130</v>
      </c>
      <c r="O79" s="13">
        <v>-0.016143881254754182</v>
      </c>
    </row>
    <row r="80">
      <c r="A80" s="26" t="s">
        <v>76</v>
      </c>
      <c r="B80" s="13">
        <f>VLOOKUP($A80,'PW k=2'!$A$2:$D$154,4,0)</f>
        <v>-0.01016865625</v>
      </c>
      <c r="C80" s="13">
        <f>VLOOKUP($A80,'PW k=3'!$A$2:$D$154,4,0)</f>
        <v>0.01132371197</v>
      </c>
      <c r="D80" s="13">
        <f>VLOOKUP($A80,'PW k=4'!$A$2:$D$154,4,0)</f>
        <v>0.03238399846</v>
      </c>
      <c r="E80" s="13">
        <f>VLOOKUP($A80,'PW k=5'!$A$2:$D$154,4,0)</f>
        <v>-0.008143221018</v>
      </c>
      <c r="G80" s="9">
        <f>VLOOKUP($A80,'PW k=2'!$A$2:$D$154,2,0)</f>
        <v>673</v>
      </c>
      <c r="H80" s="9">
        <f>VLOOKUP($A80,'PW k=3'!$A$2:$D$154,2,0)</f>
        <v>330</v>
      </c>
      <c r="I80" s="9">
        <f>VLOOKUP($A80,'PW k=4'!$A$2:$D$154,2,0)</f>
        <v>168</v>
      </c>
      <c r="J80" s="9">
        <f>VLOOKUP($A80,'PW k=5'!$A$2:$D$154,2,0)</f>
        <v>85</v>
      </c>
      <c r="L80" s="13">
        <f t="shared" si="1"/>
        <v>0.001307051953</v>
      </c>
      <c r="N80" s="26" t="s">
        <v>137</v>
      </c>
      <c r="O80" s="13">
        <v>-0.016261236097130174</v>
      </c>
    </row>
    <row r="81">
      <c r="A81" s="26" t="s">
        <v>161</v>
      </c>
      <c r="B81" s="13">
        <f>VLOOKUP($A81,'PW k=2'!$A$2:$D$154,4,0)</f>
        <v>-0.02298101107</v>
      </c>
      <c r="C81" s="13">
        <f>VLOOKUP($A81,'PW k=3'!$A$2:$D$154,4,0)</f>
        <v>-0.06460896569</v>
      </c>
      <c r="D81" s="13">
        <f>VLOOKUP($A81,'PW k=4'!$A$2:$D$154,4,0)</f>
        <v>-0.1452323907</v>
      </c>
      <c r="E81" s="13">
        <f>VLOOKUP($A81,'PW k=5'!$A$2:$D$154,4,0)</f>
        <v>-0.01663433933</v>
      </c>
      <c r="G81" s="9">
        <f>VLOOKUP($A81,'PW k=2'!$A$2:$D$154,2,0)</f>
        <v>360</v>
      </c>
      <c r="H81" s="9">
        <f>VLOOKUP($A81,'PW k=3'!$A$2:$D$154,2,0)</f>
        <v>132</v>
      </c>
      <c r="I81" s="9">
        <f>VLOOKUP($A81,'PW k=4'!$A$2:$D$154,2,0)</f>
        <v>45</v>
      </c>
      <c r="J81" s="9">
        <f>VLOOKUP($A81,'PW k=5'!$A$2:$D$154,2,0)</f>
        <v>12</v>
      </c>
      <c r="L81" s="13">
        <f t="shared" si="1"/>
        <v>-0.04287179801</v>
      </c>
      <c r="N81" s="26" t="s">
        <v>34</v>
      </c>
      <c r="O81" s="13">
        <v>-0.0164277646629294</v>
      </c>
    </row>
    <row r="82">
      <c r="A82" s="26" t="s">
        <v>92</v>
      </c>
      <c r="B82" s="13">
        <f>VLOOKUP($A82,'PW k=2'!$A$2:$D$154,4,0)</f>
        <v>-0.02836585166</v>
      </c>
      <c r="C82" s="13">
        <f>VLOOKUP($A82,'PW k=3'!$A$2:$D$154,4,0)</f>
        <v>-0.1422456491</v>
      </c>
      <c r="D82" s="13">
        <f>VLOOKUP($A82,'PW k=4'!$A$2:$D$154,4,0)</f>
        <v>-0.1360647876</v>
      </c>
      <c r="E82" s="13">
        <f>VLOOKUP($A82,'PW k=5'!$A$2:$D$154,4,0)</f>
        <v>-0.1261487439</v>
      </c>
      <c r="G82" s="9">
        <f>VLOOKUP($A82,'PW k=2'!$A$2:$D$154,2,0)</f>
        <v>294</v>
      </c>
      <c r="H82" s="9">
        <f>VLOOKUP($A82,'PW k=3'!$A$2:$D$154,2,0)</f>
        <v>113</v>
      </c>
      <c r="I82" s="9">
        <f>VLOOKUP($A82,'PW k=4'!$A$2:$D$154,2,0)</f>
        <v>31</v>
      </c>
      <c r="J82" s="9">
        <f>VLOOKUP($A82,'PW k=5'!$A$2:$D$154,2,0)</f>
        <v>8</v>
      </c>
      <c r="L82" s="13">
        <f t="shared" si="1"/>
        <v>-0.06645855853</v>
      </c>
      <c r="N82" s="26" t="s">
        <v>113</v>
      </c>
      <c r="O82" s="13">
        <v>-0.017666061381493806</v>
      </c>
    </row>
    <row r="83">
      <c r="A83" s="26" t="s">
        <v>162</v>
      </c>
      <c r="B83" s="13">
        <f>VLOOKUP($A83,'PW k=2'!$A$2:$D$154,4,0)</f>
        <v>-0.05182772888</v>
      </c>
      <c r="C83" s="13">
        <f>VLOOKUP($A83,'PW k=3'!$A$2:$D$154,4,0)</f>
        <v>-0.07280118902</v>
      </c>
      <c r="D83" s="13">
        <f>VLOOKUP($A83,'PW k=4'!$A$2:$D$154,4,0)</f>
        <v>0.01810722425</v>
      </c>
      <c r="E83" s="13">
        <f>VLOOKUP($A83,'PW k=5'!$A$2:$D$154,4,0)</f>
        <v>-0.01456581752</v>
      </c>
      <c r="G83" s="9">
        <f>VLOOKUP($A83,'PW k=2'!$A$2:$D$154,2,0)</f>
        <v>455</v>
      </c>
      <c r="H83" s="9">
        <f>VLOOKUP($A83,'PW k=3'!$A$2:$D$154,2,0)</f>
        <v>172</v>
      </c>
      <c r="I83" s="9">
        <f>VLOOKUP($A83,'PW k=4'!$A$2:$D$154,2,0)</f>
        <v>62</v>
      </c>
      <c r="J83" s="9">
        <f>VLOOKUP($A83,'PW k=5'!$A$2:$D$154,2,0)</f>
        <v>27</v>
      </c>
      <c r="L83" s="13">
        <f t="shared" si="1"/>
        <v>-0.04940509821</v>
      </c>
      <c r="N83" s="26" t="s">
        <v>150</v>
      </c>
      <c r="O83" s="13">
        <v>-0.01799449078229253</v>
      </c>
    </row>
    <row r="84">
      <c r="A84" s="26" t="s">
        <v>177</v>
      </c>
      <c r="B84" s="13">
        <f>VLOOKUP($A84,'PW k=2'!$A$2:$D$154,4,0)</f>
        <v>-0.02771332695</v>
      </c>
      <c r="C84" s="13">
        <f>VLOOKUP($A84,'PW k=3'!$A$2:$D$154,4,0)</f>
        <v>-0.003639019015</v>
      </c>
      <c r="D84" s="13">
        <f>VLOOKUP($A84,'PW k=4'!$A$2:$D$154,4,0)</f>
        <v>-0.02902875402</v>
      </c>
      <c r="E84" s="13">
        <f>VLOOKUP($A84,'PW k=5'!$A$2:$D$154,4,0)</f>
        <v>0.02557556235</v>
      </c>
      <c r="G84" s="9">
        <f>VLOOKUP($A84,'PW k=2'!$A$2:$D$154,2,0)</f>
        <v>668</v>
      </c>
      <c r="H84" s="9">
        <f>VLOOKUP($A84,'PW k=3'!$A$2:$D$154,2,0)</f>
        <v>263</v>
      </c>
      <c r="I84" s="9">
        <f>VLOOKUP($A84,'PW k=4'!$A$2:$D$154,2,0)</f>
        <v>110</v>
      </c>
      <c r="J84" s="9">
        <f>VLOOKUP($A84,'PW k=5'!$A$2:$D$154,2,0)</f>
        <v>41</v>
      </c>
      <c r="L84" s="13">
        <f t="shared" si="1"/>
        <v>-0.01997608992</v>
      </c>
      <c r="N84" s="26" t="s">
        <v>91</v>
      </c>
      <c r="O84" s="13">
        <v>-0.0186476355339799</v>
      </c>
    </row>
    <row r="85">
      <c r="A85" s="26" t="s">
        <v>89</v>
      </c>
      <c r="B85" s="13">
        <f>VLOOKUP($A85,'PW k=2'!$A$2:$D$154,4,0)</f>
        <v>-0.01374024834</v>
      </c>
      <c r="C85" s="13">
        <f>VLOOKUP($A85,'PW k=3'!$A$2:$D$154,4,0)</f>
        <v>-0.0503460246</v>
      </c>
      <c r="D85" s="13">
        <f>VLOOKUP($A85,'PW k=4'!$A$2:$D$154,4,0)</f>
        <v>-0.1072556078</v>
      </c>
      <c r="E85" s="13">
        <f>VLOOKUP($A85,'PW k=5'!$A$2:$D$154,4,0)</f>
        <v>-0.2295959124</v>
      </c>
      <c r="G85" s="9">
        <f>VLOOKUP($A85,'PW k=2'!$A$2:$D$154,2,0)</f>
        <v>476</v>
      </c>
      <c r="H85" s="9">
        <f>VLOOKUP($A85,'PW k=3'!$A$2:$D$154,2,0)</f>
        <v>182</v>
      </c>
      <c r="I85" s="9">
        <f>VLOOKUP($A85,'PW k=4'!$A$2:$D$154,2,0)</f>
        <v>60</v>
      </c>
      <c r="J85" s="9">
        <f>VLOOKUP($A85,'PW k=5'!$A$2:$D$154,2,0)</f>
        <v>16</v>
      </c>
      <c r="L85" s="13">
        <f t="shared" si="1"/>
        <v>-0.03516649285</v>
      </c>
      <c r="N85" s="26" t="s">
        <v>143</v>
      </c>
      <c r="O85" s="13">
        <v>-0.018674747943302695</v>
      </c>
    </row>
    <row r="86">
      <c r="A86" s="26" t="s">
        <v>143</v>
      </c>
      <c r="B86" s="13">
        <f>VLOOKUP($A86,'PW k=2'!$A$2:$D$154,4,0)</f>
        <v>-0.02006211339</v>
      </c>
      <c r="C86" s="13">
        <f>VLOOKUP($A86,'PW k=3'!$A$2:$D$154,4,0)</f>
        <v>-0.02024285158</v>
      </c>
      <c r="D86" s="13">
        <f>VLOOKUP($A86,'PW k=4'!$A$2:$D$154,4,0)</f>
        <v>-0.02781785259</v>
      </c>
      <c r="E86" s="13">
        <f>VLOOKUP($A86,'PW k=5'!$A$2:$D$154,4,0)</f>
        <v>0.0631355919</v>
      </c>
      <c r="G86" s="9">
        <f>VLOOKUP($A86,'PW k=2'!$A$2:$D$154,2,0)</f>
        <v>331</v>
      </c>
      <c r="H86" s="9">
        <f>VLOOKUP($A86,'PW k=3'!$A$2:$D$154,2,0)</f>
        <v>123</v>
      </c>
      <c r="I86" s="9">
        <f>VLOOKUP($A86,'PW k=4'!$A$2:$D$154,2,0)</f>
        <v>45</v>
      </c>
      <c r="J86" s="9">
        <f>VLOOKUP($A86,'PW k=5'!$A$2:$D$154,2,0)</f>
        <v>13</v>
      </c>
      <c r="L86" s="13">
        <f t="shared" si="1"/>
        <v>-0.01867474794</v>
      </c>
      <c r="N86" s="26" t="s">
        <v>58</v>
      </c>
      <c r="O86" s="13">
        <v>-0.019034025459081078</v>
      </c>
    </row>
    <row r="87">
      <c r="A87" s="26" t="s">
        <v>34</v>
      </c>
      <c r="B87" s="13">
        <f>VLOOKUP($A87,'PW k=2'!$A$2:$D$154,4,0)</f>
        <v>-0.0001165986193</v>
      </c>
      <c r="C87" s="13">
        <f>VLOOKUP($A87,'PW k=3'!$A$2:$D$154,4,0)</f>
        <v>-0.04409610227</v>
      </c>
      <c r="D87" s="13">
        <f>VLOOKUP($A87,'PW k=4'!$A$2:$D$154,4,0)</f>
        <v>-0.04187055456</v>
      </c>
      <c r="E87" s="13">
        <f>VLOOKUP($A87,'PW k=5'!$A$2:$D$154,4,0)</f>
        <v>-0.04108677045</v>
      </c>
      <c r="G87" s="9">
        <f>VLOOKUP($A87,'PW k=2'!$A$2:$D$154,2,0)</f>
        <v>311</v>
      </c>
      <c r="H87" s="9">
        <f>VLOOKUP($A87,'PW k=3'!$A$2:$D$154,2,0)</f>
        <v>125</v>
      </c>
      <c r="I87" s="9">
        <f>VLOOKUP($A87,'PW k=4'!$A$2:$D$154,2,0)</f>
        <v>46</v>
      </c>
      <c r="J87" s="9">
        <f>VLOOKUP($A87,'PW k=5'!$A$2:$D$154,2,0)</f>
        <v>18</v>
      </c>
      <c r="L87" s="13">
        <f t="shared" si="1"/>
        <v>-0.01642776466</v>
      </c>
      <c r="N87" s="26" t="s">
        <v>132</v>
      </c>
      <c r="O87" s="13">
        <v>-0.019823960169196807</v>
      </c>
    </row>
    <row r="88">
      <c r="A88" s="26" t="s">
        <v>36</v>
      </c>
      <c r="B88" s="13">
        <f>VLOOKUP($A88,'PW k=2'!$A$2:$D$154,4,0)</f>
        <v>0.0302893334</v>
      </c>
      <c r="C88" s="13">
        <f>VLOOKUP($A88,'PW k=3'!$A$2:$D$154,4,0)</f>
        <v>-0.001966700734</v>
      </c>
      <c r="D88" s="13">
        <f>VLOOKUP($A88,'PW k=4'!$A$2:$D$154,4,0)</f>
        <v>-0.029264296</v>
      </c>
      <c r="E88" s="13">
        <f>VLOOKUP($A88,'PW k=5'!$A$2:$D$154,4,0)</f>
        <v>-0.1044868569</v>
      </c>
      <c r="G88" s="9">
        <f>VLOOKUP($A88,'PW k=2'!$A$2:$D$154,2,0)</f>
        <v>438</v>
      </c>
      <c r="H88" s="9">
        <f>VLOOKUP($A88,'PW k=3'!$A$2:$D$154,2,0)</f>
        <v>214</v>
      </c>
      <c r="I88" s="9">
        <f>VLOOKUP($A88,'PW k=4'!$A$2:$D$154,2,0)</f>
        <v>94</v>
      </c>
      <c r="J88" s="9">
        <f>VLOOKUP($A88,'PW k=5'!$A$2:$D$154,2,0)</f>
        <v>34</v>
      </c>
      <c r="L88" s="13">
        <f t="shared" si="1"/>
        <v>0.008387765532</v>
      </c>
      <c r="N88" s="26" t="s">
        <v>177</v>
      </c>
      <c r="O88" s="13">
        <v>-0.019976089915866798</v>
      </c>
    </row>
    <row r="89">
      <c r="A89" s="26" t="s">
        <v>16</v>
      </c>
      <c r="B89" s="13">
        <f>VLOOKUP($A89,'PW k=2'!$A$2:$D$154,4,0)</f>
        <v>-0.01074376697</v>
      </c>
      <c r="C89" s="13">
        <f>VLOOKUP($A89,'PW k=3'!$A$2:$D$154,4,0)</f>
        <v>-0.01419913966</v>
      </c>
      <c r="D89" s="13">
        <f>VLOOKUP($A89,'PW k=4'!$A$2:$D$154,4,0)</f>
        <v>0.003502109101</v>
      </c>
      <c r="E89" s="13">
        <f>VLOOKUP($A89,'PW k=5'!$A$2:$D$154,4,0)</f>
        <v>0.009166729339</v>
      </c>
      <c r="G89" s="9">
        <f>VLOOKUP($A89,'PW k=2'!$A$2:$D$154,2,0)</f>
        <v>324</v>
      </c>
      <c r="H89" s="9">
        <f>VLOOKUP($A89,'PW k=3'!$A$2:$D$154,2,0)</f>
        <v>140</v>
      </c>
      <c r="I89" s="9">
        <f>VLOOKUP($A89,'PW k=4'!$A$2:$D$154,2,0)</f>
        <v>62</v>
      </c>
      <c r="J89" s="9">
        <f>VLOOKUP($A89,'PW k=5'!$A$2:$D$154,2,0)</f>
        <v>27</v>
      </c>
      <c r="L89" s="13">
        <f t="shared" si="1"/>
        <v>-0.009049236159</v>
      </c>
      <c r="N89" s="26" t="s">
        <v>129</v>
      </c>
      <c r="O89" s="13">
        <v>-0.021014320902334366</v>
      </c>
    </row>
    <row r="90">
      <c r="A90" s="26" t="s">
        <v>144</v>
      </c>
      <c r="B90" s="13">
        <f>VLOOKUP($A90,'PW k=2'!$A$2:$D$154,4,0)</f>
        <v>-0.01483518672</v>
      </c>
      <c r="C90" s="13">
        <f>VLOOKUP($A90,'PW k=3'!$A$2:$D$154,4,0)</f>
        <v>0.02204926258</v>
      </c>
      <c r="D90" s="13">
        <f>VLOOKUP($A90,'PW k=4'!$A$2:$D$154,4,0)</f>
        <v>-0.01107424946</v>
      </c>
      <c r="E90" s="13">
        <f>VLOOKUP($A90,'PW k=5'!$A$2:$D$154,4,0)</f>
        <v>-0.04282323021</v>
      </c>
      <c r="G90" s="9">
        <f>VLOOKUP($A90,'PW k=2'!$A$2:$D$154,2,0)</f>
        <v>504</v>
      </c>
      <c r="H90" s="9">
        <f>VLOOKUP($A90,'PW k=3'!$A$2:$D$154,2,0)</f>
        <v>193</v>
      </c>
      <c r="I90" s="9">
        <f>VLOOKUP($A90,'PW k=4'!$A$2:$D$154,2,0)</f>
        <v>79</v>
      </c>
      <c r="J90" s="9">
        <f>VLOOKUP($A90,'PW k=5'!$A$2:$D$154,2,0)</f>
        <v>30</v>
      </c>
      <c r="L90" s="13">
        <f t="shared" si="1"/>
        <v>-0.006676165064</v>
      </c>
      <c r="N90" s="26" t="s">
        <v>135</v>
      </c>
      <c r="O90" s="13">
        <v>-0.021839571534093005</v>
      </c>
    </row>
    <row r="91">
      <c r="A91" s="26" t="s">
        <v>44</v>
      </c>
      <c r="B91" s="13">
        <f>VLOOKUP($A91,'PW k=2'!$A$2:$D$154,4,0)</f>
        <v>0.0190474705</v>
      </c>
      <c r="C91" s="13">
        <f>VLOOKUP($A91,'PW k=3'!$A$2:$D$154,4,0)</f>
        <v>0.005240080564</v>
      </c>
      <c r="D91" s="13">
        <f>VLOOKUP($A91,'PW k=4'!$A$2:$D$154,4,0)</f>
        <v>-0.01844669187</v>
      </c>
      <c r="E91" s="13">
        <f>VLOOKUP($A91,'PW k=5'!$A$2:$D$154,4,0)</f>
        <v>0.02796075133</v>
      </c>
      <c r="G91" s="9">
        <f>VLOOKUP($A91,'PW k=2'!$A$2:$D$154,2,0)</f>
        <v>402</v>
      </c>
      <c r="H91" s="9">
        <f>VLOOKUP($A91,'PW k=3'!$A$2:$D$154,2,0)</f>
        <v>182</v>
      </c>
      <c r="I91" s="9">
        <f>VLOOKUP($A91,'PW k=4'!$A$2:$D$154,2,0)</f>
        <v>77</v>
      </c>
      <c r="J91" s="9">
        <f>VLOOKUP($A91,'PW k=5'!$A$2:$D$154,2,0)</f>
        <v>30</v>
      </c>
      <c r="L91" s="13">
        <f t="shared" si="1"/>
        <v>0.01161968895</v>
      </c>
      <c r="N91" s="26" t="s">
        <v>122</v>
      </c>
      <c r="O91" s="13">
        <v>-0.0224179324129942</v>
      </c>
    </row>
    <row r="92">
      <c r="A92" s="26" t="s">
        <v>63</v>
      </c>
      <c r="B92" s="13">
        <f>VLOOKUP($A92,'PW k=2'!$A$2:$D$154,4,0)</f>
        <v>0.002744346669</v>
      </c>
      <c r="C92" s="13">
        <f>VLOOKUP($A92,'PW k=3'!$A$2:$D$154,4,0)</f>
        <v>-0.02424196581</v>
      </c>
      <c r="D92" s="13">
        <f>VLOOKUP($A92,'PW k=4'!$A$2:$D$154,4,0)</f>
        <v>-0.03821822606</v>
      </c>
      <c r="E92" s="13">
        <f>VLOOKUP($A92,'PW k=5'!$A$2:$D$154,4,0)</f>
        <v>-0.125516735</v>
      </c>
      <c r="G92" s="9">
        <f>VLOOKUP($A92,'PW k=2'!$A$2:$D$154,2,0)</f>
        <v>401</v>
      </c>
      <c r="H92" s="9">
        <f>VLOOKUP($A92,'PW k=3'!$A$2:$D$154,2,0)</f>
        <v>168</v>
      </c>
      <c r="I92" s="9">
        <f>VLOOKUP($A92,'PW k=4'!$A$2:$D$154,2,0)</f>
        <v>63</v>
      </c>
      <c r="J92" s="9">
        <f>VLOOKUP($A92,'PW k=5'!$A$2:$D$154,2,0)</f>
        <v>23</v>
      </c>
      <c r="L92" s="13">
        <f t="shared" si="1"/>
        <v>-0.01262106929</v>
      </c>
      <c r="N92" s="26" t="s">
        <v>147</v>
      </c>
      <c r="O92" s="13">
        <v>-0.022646574322802843</v>
      </c>
    </row>
    <row r="93">
      <c r="A93" s="26" t="s">
        <v>97</v>
      </c>
      <c r="B93" s="13">
        <f>VLOOKUP($A93,'PW k=2'!$A$2:$D$154,4,0)</f>
        <v>0.0006370526174</v>
      </c>
      <c r="C93" s="13">
        <f>VLOOKUP($A93,'PW k=3'!$A$2:$D$154,4,0)</f>
        <v>0.003873521812</v>
      </c>
      <c r="D93" s="13">
        <f>VLOOKUP($A93,'PW k=4'!$A$2:$D$154,4,0)</f>
        <v>0.01901017639</v>
      </c>
      <c r="E93" s="13">
        <f>VLOOKUP($A93,'PW k=5'!$A$2:$D$154,4,0)</f>
        <v>-0.04483718324</v>
      </c>
      <c r="G93" s="9">
        <f>VLOOKUP($A93,'PW k=2'!$A$2:$D$154,2,0)</f>
        <v>665</v>
      </c>
      <c r="H93" s="9">
        <f>VLOOKUP($A93,'PW k=3'!$A$2:$D$154,2,0)</f>
        <v>312</v>
      </c>
      <c r="I93" s="9">
        <f>VLOOKUP($A93,'PW k=4'!$A$2:$D$154,2,0)</f>
        <v>142</v>
      </c>
      <c r="J93" s="9">
        <f>VLOOKUP($A93,'PW k=5'!$A$2:$D$154,2,0)</f>
        <v>61</v>
      </c>
      <c r="L93" s="13">
        <f t="shared" si="1"/>
        <v>0.001353013276</v>
      </c>
      <c r="N93" s="26" t="s">
        <v>139</v>
      </c>
      <c r="O93" s="13">
        <v>-0.022796706399421208</v>
      </c>
    </row>
    <row r="94">
      <c r="A94" s="26" t="s">
        <v>158</v>
      </c>
      <c r="B94" s="13">
        <f>VLOOKUP($A94,'PW k=2'!$A$2:$D$154,4,0)</f>
        <v>-0.01567845889</v>
      </c>
      <c r="C94" s="13">
        <f>VLOOKUP($A94,'PW k=3'!$A$2:$D$154,4,0)</f>
        <v>-0.02691002395</v>
      </c>
      <c r="D94" s="13">
        <f>VLOOKUP($A94,'PW k=4'!$A$2:$D$154,4,0)</f>
        <v>-0.07001994705</v>
      </c>
      <c r="E94" s="13">
        <f>VLOOKUP($A94,'PW k=5'!$A$2:$D$154,4,0)</f>
        <v>-0.1427631945</v>
      </c>
      <c r="G94" s="9">
        <f>VLOOKUP($A94,'PW k=2'!$A$2:$D$154,2,0)</f>
        <v>502</v>
      </c>
      <c r="H94" s="9">
        <f>VLOOKUP($A94,'PW k=3'!$A$2:$D$154,2,0)</f>
        <v>189</v>
      </c>
      <c r="I94" s="9">
        <f>VLOOKUP($A94,'PW k=4'!$A$2:$D$154,2,0)</f>
        <v>68</v>
      </c>
      <c r="J94" s="9">
        <f>VLOOKUP($A94,'PW k=5'!$A$2:$D$154,2,0)</f>
        <v>23</v>
      </c>
      <c r="L94" s="13">
        <f t="shared" si="1"/>
        <v>-0.0268561263</v>
      </c>
      <c r="N94" s="26" t="s">
        <v>69</v>
      </c>
      <c r="O94" s="13">
        <v>-0.023744325709440815</v>
      </c>
    </row>
    <row r="95">
      <c r="A95" s="26" t="s">
        <v>156</v>
      </c>
      <c r="B95" s="13">
        <f>VLOOKUP($A95,'PW k=2'!$A$2:$D$154,4,0)</f>
        <v>-0.03053770326</v>
      </c>
      <c r="C95" s="13">
        <f>VLOOKUP($A95,'PW k=3'!$A$2:$D$154,4,0)</f>
        <v>-0.05605023388</v>
      </c>
      <c r="D95" s="13">
        <f>VLOOKUP($A95,'PW k=4'!$A$2:$D$154,4,0)</f>
        <v>-0.1254912605</v>
      </c>
      <c r="E95" s="13">
        <f>VLOOKUP($A95,'PW k=5'!$A$2:$D$154,4,0)</f>
        <v>-0.04262246778</v>
      </c>
      <c r="G95" s="9">
        <f>VLOOKUP($A95,'PW k=2'!$A$2:$D$154,2,0)</f>
        <v>336</v>
      </c>
      <c r="H95" s="9">
        <f>VLOOKUP($A95,'PW k=3'!$A$2:$D$154,2,0)</f>
        <v>128</v>
      </c>
      <c r="I95" s="9">
        <f>VLOOKUP($A95,'PW k=4'!$A$2:$D$154,2,0)</f>
        <v>49</v>
      </c>
      <c r="J95" s="9">
        <f>VLOOKUP($A95,'PW k=5'!$A$2:$D$154,2,0)</f>
        <v>16</v>
      </c>
      <c r="L95" s="13">
        <f t="shared" si="1"/>
        <v>-0.04587170034</v>
      </c>
      <c r="N95" s="26" t="s">
        <v>173</v>
      </c>
      <c r="O95" s="13">
        <v>-0.024576648411033155</v>
      </c>
    </row>
    <row r="96">
      <c r="A96" s="26" t="s">
        <v>117</v>
      </c>
      <c r="B96" s="13">
        <f>VLOOKUP($A96,'PW k=2'!$A$2:$D$154,4,0)</f>
        <v>-0.01930894832</v>
      </c>
      <c r="C96" s="13">
        <f>VLOOKUP($A96,'PW k=3'!$A$2:$D$154,4,0)</f>
        <v>-0.03289374912</v>
      </c>
      <c r="D96" s="13">
        <f>VLOOKUP($A96,'PW k=4'!$A$2:$D$154,4,0)</f>
        <v>-0.1082827388</v>
      </c>
      <c r="E96" s="13">
        <f>VLOOKUP($A96,'PW k=5'!$A$2:$D$154,4,0)</f>
        <v>-0.1595740402</v>
      </c>
      <c r="G96" s="9">
        <f>VLOOKUP($A96,'PW k=2'!$A$2:$D$154,2,0)</f>
        <v>342</v>
      </c>
      <c r="H96" s="9">
        <f>VLOOKUP($A96,'PW k=3'!$A$2:$D$154,2,0)</f>
        <v>133</v>
      </c>
      <c r="I96" s="9">
        <f>VLOOKUP($A96,'PW k=4'!$A$2:$D$154,2,0)</f>
        <v>50</v>
      </c>
      <c r="J96" s="9">
        <f>VLOOKUP($A96,'PW k=5'!$A$2:$D$154,2,0)</f>
        <v>16</v>
      </c>
      <c r="L96" s="13">
        <f t="shared" si="1"/>
        <v>-0.03502005645</v>
      </c>
      <c r="N96" s="26" t="s">
        <v>105</v>
      </c>
      <c r="O96" s="13">
        <v>-0.02462870702720702</v>
      </c>
    </row>
    <row r="97">
      <c r="A97" s="26" t="s">
        <v>136</v>
      </c>
      <c r="B97" s="13">
        <f>VLOOKUP($A97,'PW k=2'!$A$2:$D$154,4,0)</f>
        <v>-0.01608096305</v>
      </c>
      <c r="C97" s="13">
        <f>VLOOKUP($A97,'PW k=3'!$A$2:$D$154,4,0)</f>
        <v>-0.01159689042</v>
      </c>
      <c r="D97" s="13">
        <f>VLOOKUP($A97,'PW k=4'!$A$2:$D$154,4,0)</f>
        <v>0.01260590805</v>
      </c>
      <c r="E97" s="13">
        <f>VLOOKUP($A97,'PW k=5'!$A$2:$D$154,4,0)</f>
        <v>0.04270640278</v>
      </c>
      <c r="G97" s="9">
        <f>VLOOKUP($A97,'PW k=2'!$A$2:$D$154,2,0)</f>
        <v>689</v>
      </c>
      <c r="H97" s="9">
        <f>VLOOKUP($A97,'PW k=3'!$A$2:$D$154,2,0)</f>
        <v>317</v>
      </c>
      <c r="I97" s="9">
        <f>VLOOKUP($A97,'PW k=4'!$A$2:$D$154,2,0)</f>
        <v>143</v>
      </c>
      <c r="J97" s="9">
        <f>VLOOKUP($A97,'PW k=5'!$A$2:$D$154,2,0)</f>
        <v>68</v>
      </c>
      <c r="L97" s="13">
        <f t="shared" si="1"/>
        <v>-0.00825745075</v>
      </c>
      <c r="N97" s="26" t="s">
        <v>123</v>
      </c>
      <c r="O97" s="13">
        <v>-0.025000669837323623</v>
      </c>
    </row>
    <row r="98">
      <c r="A98" s="26" t="s">
        <v>169</v>
      </c>
      <c r="B98" s="13">
        <f>VLOOKUP($A98,'PW k=2'!$A$2:$D$154,4,0)</f>
        <v>-0.04426118628</v>
      </c>
      <c r="C98" s="13">
        <f>VLOOKUP($A98,'PW k=3'!$A$2:$D$154,4,0)</f>
        <v>-0.09159857102</v>
      </c>
      <c r="D98" s="13">
        <f>VLOOKUP($A98,'PW k=4'!$A$2:$D$154,4,0)</f>
        <v>-0.09543415793</v>
      </c>
      <c r="E98" s="13">
        <f>VLOOKUP($A98,'PW k=5'!$A$2:$D$154,4,0)</f>
        <v>-0.03065591535</v>
      </c>
      <c r="G98" s="9">
        <f>VLOOKUP($A98,'PW k=2'!$A$2:$D$154,2,0)</f>
        <v>318</v>
      </c>
      <c r="H98" s="9">
        <f>VLOOKUP($A98,'PW k=3'!$A$2:$D$154,2,0)</f>
        <v>111</v>
      </c>
      <c r="I98" s="9">
        <f>VLOOKUP($A98,'PW k=4'!$A$2:$D$154,2,0)</f>
        <v>34</v>
      </c>
      <c r="J98" s="9">
        <f>VLOOKUP($A98,'PW k=5'!$A$2:$D$154,2,0)</f>
        <v>8</v>
      </c>
      <c r="L98" s="13">
        <f t="shared" si="1"/>
        <v>-0.05888005799</v>
      </c>
      <c r="N98" s="26" t="s">
        <v>73</v>
      </c>
      <c r="O98" s="13">
        <v>-0.026821173747073403</v>
      </c>
    </row>
    <row r="99">
      <c r="A99" s="26" t="s">
        <v>146</v>
      </c>
      <c r="B99" s="13">
        <f>VLOOKUP($A99,'PW k=2'!$A$2:$D$154,4,0)</f>
        <v>-0.01071193735</v>
      </c>
      <c r="C99" s="13">
        <f>VLOOKUP($A99,'PW k=3'!$A$2:$D$154,4,0)</f>
        <v>-0.01839596822</v>
      </c>
      <c r="D99" s="13">
        <f>VLOOKUP($A99,'PW k=4'!$A$2:$D$154,4,0)</f>
        <v>-0.006077875023</v>
      </c>
      <c r="E99" s="13">
        <f>VLOOKUP($A99,'PW k=5'!$A$2:$D$154,4,0)</f>
        <v>-0.08662219535</v>
      </c>
      <c r="G99" s="9">
        <f>VLOOKUP($A99,'PW k=2'!$A$2:$D$154,2,0)</f>
        <v>571</v>
      </c>
      <c r="H99" s="9">
        <f>VLOOKUP($A99,'PW k=3'!$A$2:$D$154,2,0)</f>
        <v>242</v>
      </c>
      <c r="I99" s="9">
        <f>VLOOKUP($A99,'PW k=4'!$A$2:$D$154,2,0)</f>
        <v>101</v>
      </c>
      <c r="J99" s="9">
        <f>VLOOKUP($A99,'PW k=5'!$A$2:$D$154,2,0)</f>
        <v>42</v>
      </c>
      <c r="L99" s="13">
        <f t="shared" si="1"/>
        <v>-0.01550244573</v>
      </c>
      <c r="N99" s="26" t="s">
        <v>158</v>
      </c>
      <c r="O99" s="13">
        <v>-0.02685612629669559</v>
      </c>
    </row>
    <row r="100">
      <c r="A100" s="26" t="s">
        <v>91</v>
      </c>
      <c r="B100" s="13">
        <f>VLOOKUP($A100,'PW k=2'!$A$2:$D$154,4,0)</f>
        <v>-0.007705629723</v>
      </c>
      <c r="C100" s="13">
        <f>VLOOKUP($A100,'PW k=3'!$A$2:$D$154,4,0)</f>
        <v>-0.02641005909</v>
      </c>
      <c r="D100" s="13">
        <f>VLOOKUP($A100,'PW k=4'!$A$2:$D$154,4,0)</f>
        <v>-0.04768559744</v>
      </c>
      <c r="E100" s="13">
        <f>VLOOKUP($A100,'PW k=5'!$A$2:$D$154,4,0)</f>
        <v>-0.02424676753</v>
      </c>
      <c r="G100" s="9">
        <f>VLOOKUP($A100,'PW k=2'!$A$2:$D$154,2,0)</f>
        <v>928</v>
      </c>
      <c r="H100" s="9">
        <f>VLOOKUP($A100,'PW k=3'!$A$2:$D$154,2,0)</f>
        <v>451</v>
      </c>
      <c r="I100" s="9">
        <f>VLOOKUP($A100,'PW k=4'!$A$2:$D$154,2,0)</f>
        <v>211</v>
      </c>
      <c r="J100" s="9">
        <f>VLOOKUP($A100,'PW k=5'!$A$2:$D$154,2,0)</f>
        <v>94</v>
      </c>
      <c r="L100" s="13">
        <f t="shared" si="1"/>
        <v>-0.01864763553</v>
      </c>
      <c r="N100" s="26" t="s">
        <v>114</v>
      </c>
      <c r="O100" s="13">
        <v>-0.027190088933368613</v>
      </c>
    </row>
    <row r="101">
      <c r="A101" s="26" t="s">
        <v>131</v>
      </c>
      <c r="B101" s="13">
        <f>VLOOKUP($A101,'PW k=2'!$A$2:$D$154,4,0)</f>
        <v>-0.004172270483</v>
      </c>
      <c r="C101" s="13">
        <f>VLOOKUP($A101,'PW k=3'!$A$2:$D$154,4,0)</f>
        <v>-0.02339832584</v>
      </c>
      <c r="D101" s="13">
        <f>VLOOKUP($A101,'PW k=4'!$A$2:$D$154,4,0)</f>
        <v>-0.007751135275</v>
      </c>
      <c r="E101" s="13">
        <f>VLOOKUP($A101,'PW k=5'!$A$2:$D$154,4,0)</f>
        <v>-0.002441611178</v>
      </c>
      <c r="G101" s="9">
        <f>VLOOKUP($A101,'PW k=2'!$A$2:$D$154,2,0)</f>
        <v>507</v>
      </c>
      <c r="H101" s="9">
        <f>VLOOKUP($A101,'PW k=3'!$A$2:$D$154,2,0)</f>
        <v>209</v>
      </c>
      <c r="I101" s="9">
        <f>VLOOKUP($A101,'PW k=4'!$A$2:$D$154,2,0)</f>
        <v>81</v>
      </c>
      <c r="J101" s="9">
        <f>VLOOKUP($A101,'PW k=5'!$A$2:$D$154,2,0)</f>
        <v>32</v>
      </c>
      <c r="L101" s="13">
        <f t="shared" si="1"/>
        <v>-0.009302249398</v>
      </c>
      <c r="N101" s="26" t="s">
        <v>87</v>
      </c>
      <c r="O101" s="13">
        <v>-0.028116316810612094</v>
      </c>
    </row>
    <row r="102">
      <c r="A102" s="26" t="s">
        <v>95</v>
      </c>
      <c r="B102" s="13">
        <f>VLOOKUP($A102,'PW k=2'!$A$2:$D$154,4,0)</f>
        <v>0.006947936406</v>
      </c>
      <c r="C102" s="13">
        <f>VLOOKUP($A102,'PW k=3'!$A$2:$D$154,4,0)</f>
        <v>-0.01846995219</v>
      </c>
      <c r="D102" s="13">
        <f>VLOOKUP($A102,'PW k=4'!$A$2:$D$154,4,0)</f>
        <v>-0.05212777405</v>
      </c>
      <c r="E102" s="13">
        <f>VLOOKUP($A102,'PW k=5'!$A$2:$D$154,4,0)</f>
        <v>0.06288007715</v>
      </c>
      <c r="G102" s="9">
        <f>VLOOKUP($A102,'PW k=2'!$A$2:$D$154,2,0)</f>
        <v>440</v>
      </c>
      <c r="H102" s="9">
        <f>VLOOKUP($A102,'PW k=3'!$A$2:$D$154,2,0)</f>
        <v>189</v>
      </c>
      <c r="I102" s="9">
        <f>VLOOKUP($A102,'PW k=4'!$A$2:$D$154,2,0)</f>
        <v>79</v>
      </c>
      <c r="J102" s="9">
        <f>VLOOKUP($A102,'PW k=5'!$A$2:$D$154,2,0)</f>
        <v>28</v>
      </c>
      <c r="L102" s="13">
        <f t="shared" si="1"/>
        <v>-0.003792365402</v>
      </c>
      <c r="N102" s="26" t="s">
        <v>119</v>
      </c>
      <c r="O102" s="13">
        <v>-0.028527717792773032</v>
      </c>
    </row>
    <row r="103">
      <c r="A103" s="26" t="s">
        <v>142</v>
      </c>
      <c r="B103" s="13">
        <f>VLOOKUP($A103,'PW k=2'!$A$2:$D$154,4,0)</f>
        <v>-0.02117125203</v>
      </c>
      <c r="C103" s="13">
        <f>VLOOKUP($A103,'PW k=3'!$A$2:$D$154,4,0)</f>
        <v>-0.04705405227</v>
      </c>
      <c r="D103" s="13">
        <f>VLOOKUP($A103,'PW k=4'!$A$2:$D$154,4,0)</f>
        <v>-0.09541049971</v>
      </c>
      <c r="E103" s="13">
        <f>VLOOKUP($A103,'PW k=5'!$A$2:$D$154,4,0)</f>
        <v>-0.04583471511</v>
      </c>
      <c r="G103" s="9">
        <f>VLOOKUP($A103,'PW k=2'!$A$2:$D$154,2,0)</f>
        <v>674</v>
      </c>
      <c r="H103" s="9">
        <f>VLOOKUP($A103,'PW k=3'!$A$2:$D$154,2,0)</f>
        <v>300</v>
      </c>
      <c r="I103" s="9">
        <f>VLOOKUP($A103,'PW k=4'!$A$2:$D$154,2,0)</f>
        <v>128</v>
      </c>
      <c r="J103" s="9">
        <f>VLOOKUP($A103,'PW k=5'!$A$2:$D$154,2,0)</f>
        <v>48</v>
      </c>
      <c r="L103" s="13">
        <f t="shared" si="1"/>
        <v>-0.03721586943</v>
      </c>
      <c r="N103" s="26" t="s">
        <v>154</v>
      </c>
      <c r="O103" s="13">
        <v>-0.029476826818916346</v>
      </c>
    </row>
    <row r="104">
      <c r="A104" s="26" t="s">
        <v>50</v>
      </c>
      <c r="B104" s="13">
        <f>VLOOKUP($A104,'PW k=2'!$A$2:$D$154,4,0)</f>
        <v>0.01893095017</v>
      </c>
      <c r="C104" s="13">
        <f>VLOOKUP($A104,'PW k=3'!$A$2:$D$154,4,0)</f>
        <v>0.06901297747</v>
      </c>
      <c r="D104" s="13">
        <f>VLOOKUP($A104,'PW k=4'!$A$2:$D$154,4,0)</f>
        <v>0.04563641159</v>
      </c>
      <c r="E104" s="13">
        <f>VLOOKUP($A104,'PW k=5'!$A$2:$D$154,4,0)</f>
        <v>0.09100838103</v>
      </c>
      <c r="G104" s="9">
        <f>VLOOKUP($A104,'PW k=2'!$A$2:$D$154,2,0)</f>
        <v>418</v>
      </c>
      <c r="H104" s="9">
        <f>VLOOKUP($A104,'PW k=3'!$A$2:$D$154,2,0)</f>
        <v>189</v>
      </c>
      <c r="I104" s="9">
        <f>VLOOKUP($A104,'PW k=4'!$A$2:$D$154,2,0)</f>
        <v>98</v>
      </c>
      <c r="J104" s="9">
        <f>VLOOKUP($A104,'PW k=5'!$A$2:$D$154,2,0)</f>
        <v>49</v>
      </c>
      <c r="L104" s="13">
        <f t="shared" si="1"/>
        <v>0.03963974658</v>
      </c>
      <c r="N104" s="26" t="s">
        <v>99</v>
      </c>
      <c r="O104" s="13">
        <v>-0.030646673416757905</v>
      </c>
    </row>
    <row r="105">
      <c r="A105" s="26" t="s">
        <v>178</v>
      </c>
      <c r="B105" s="13">
        <f>VLOOKUP($A105,'PW k=2'!$A$2:$D$154,4,0)</f>
        <v>-0.0441067949</v>
      </c>
      <c r="C105" s="13">
        <f>VLOOKUP($A105,'PW k=3'!$A$2:$D$154,4,0)</f>
        <v>-0.05641567118</v>
      </c>
      <c r="D105" s="13">
        <f>VLOOKUP($A105,'PW k=4'!$A$2:$D$154,4,0)</f>
        <v>-0.1151723102</v>
      </c>
      <c r="E105" s="13">
        <f>VLOOKUP($A105,'PW k=5'!$A$2:$D$154,4,0)</f>
        <v>-0.002414952156</v>
      </c>
      <c r="G105" s="9">
        <f>VLOOKUP($A105,'PW k=2'!$A$2:$D$154,2,0)</f>
        <v>619</v>
      </c>
      <c r="H105" s="9">
        <f>VLOOKUP($A105,'PW k=3'!$A$2:$D$154,2,0)</f>
        <v>230</v>
      </c>
      <c r="I105" s="9">
        <f>VLOOKUP($A105,'PW k=4'!$A$2:$D$154,2,0)</f>
        <v>83</v>
      </c>
      <c r="J105" s="9">
        <f>VLOOKUP($A105,'PW k=5'!$A$2:$D$154,2,0)</f>
        <v>26</v>
      </c>
      <c r="L105" s="13">
        <f t="shared" si="1"/>
        <v>-0.05208747486</v>
      </c>
      <c r="N105" s="26" t="s">
        <v>175</v>
      </c>
      <c r="O105" s="13">
        <v>-0.0313459000315721</v>
      </c>
    </row>
    <row r="106">
      <c r="A106" s="26" t="s">
        <v>120</v>
      </c>
      <c r="B106" s="13">
        <f>VLOOKUP($A106,'PW k=2'!$A$2:$D$154,4,0)</f>
        <v>-0.01873597786</v>
      </c>
      <c r="C106" s="13">
        <f>VLOOKUP($A106,'PW k=3'!$A$2:$D$154,4,0)</f>
        <v>-0.06239664654</v>
      </c>
      <c r="D106" s="13">
        <f>VLOOKUP($A106,'PW k=4'!$A$2:$D$154,4,0)</f>
        <v>-0.07233152016</v>
      </c>
      <c r="E106" s="13">
        <f>VLOOKUP($A106,'PW k=5'!$A$2:$D$154,4,0)</f>
        <v>0.01480136836</v>
      </c>
      <c r="G106" s="9">
        <f>VLOOKUP($A106,'PW k=2'!$A$2:$D$154,2,0)</f>
        <v>342</v>
      </c>
      <c r="H106" s="9">
        <f>VLOOKUP($A106,'PW k=3'!$A$2:$D$154,2,0)</f>
        <v>123</v>
      </c>
      <c r="I106" s="9">
        <f>VLOOKUP($A106,'PW k=4'!$A$2:$D$154,2,0)</f>
        <v>38</v>
      </c>
      <c r="J106" s="9">
        <f>VLOOKUP($A106,'PW k=5'!$A$2:$D$154,2,0)</f>
        <v>10</v>
      </c>
      <c r="L106" s="13">
        <f t="shared" si="1"/>
        <v>-0.03252061605</v>
      </c>
      <c r="N106" s="26" t="s">
        <v>64</v>
      </c>
      <c r="O106" s="13">
        <v>-0.03183084659075846</v>
      </c>
    </row>
    <row r="107">
      <c r="A107" s="26" t="s">
        <v>88</v>
      </c>
      <c r="B107" s="13">
        <f>VLOOKUP($A107,'PW k=2'!$A$2:$D$154,4,0)</f>
        <v>-0.004968200867</v>
      </c>
      <c r="C107" s="13">
        <f>VLOOKUP($A107,'PW k=3'!$A$2:$D$154,4,0)</f>
        <v>-0.00922830335</v>
      </c>
      <c r="D107" s="13">
        <f>VLOOKUP($A107,'PW k=4'!$A$2:$D$154,4,0)</f>
        <v>-0.0159174924</v>
      </c>
      <c r="E107" s="13">
        <f>VLOOKUP($A107,'PW k=5'!$A$2:$D$154,4,0)</f>
        <v>-0.08936374798</v>
      </c>
      <c r="G107" s="9">
        <f>VLOOKUP($A107,'PW k=2'!$A$2:$D$154,2,0)</f>
        <v>595</v>
      </c>
      <c r="H107" s="9">
        <f>VLOOKUP($A107,'PW k=3'!$A$2:$D$154,2,0)</f>
        <v>245</v>
      </c>
      <c r="I107" s="9">
        <f>VLOOKUP($A107,'PW k=4'!$A$2:$D$154,2,0)</f>
        <v>96</v>
      </c>
      <c r="J107" s="9">
        <f>VLOOKUP($A107,'PW k=5'!$A$2:$D$154,2,0)</f>
        <v>38</v>
      </c>
      <c r="L107" s="13">
        <f t="shared" si="1"/>
        <v>-0.01041161759</v>
      </c>
      <c r="N107" s="26" t="s">
        <v>145</v>
      </c>
      <c r="O107" s="13">
        <v>-0.032098400961398134</v>
      </c>
    </row>
    <row r="108">
      <c r="A108" s="26" t="s">
        <v>151</v>
      </c>
      <c r="B108" s="13">
        <f>VLOOKUP($A108,'PW k=2'!$A$2:$D$154,4,0)</f>
        <v>-0.03647986397</v>
      </c>
      <c r="C108" s="13">
        <f>VLOOKUP($A108,'PW k=3'!$A$2:$D$154,4,0)</f>
        <v>-0.07269808826</v>
      </c>
      <c r="D108" s="13">
        <f>VLOOKUP($A108,'PW k=4'!$A$2:$D$154,4,0)</f>
        <v>-0.08035239786</v>
      </c>
      <c r="E108" s="13">
        <f>VLOOKUP($A108,'PW k=5'!$A$2:$D$154,4,0)</f>
        <v>-0.1972886136</v>
      </c>
      <c r="G108" s="9">
        <f>VLOOKUP($A108,'PW k=2'!$A$2:$D$154,2,0)</f>
        <v>372</v>
      </c>
      <c r="H108" s="9">
        <f>VLOOKUP($A108,'PW k=3'!$A$2:$D$154,2,0)</f>
        <v>142</v>
      </c>
      <c r="I108" s="9">
        <f>VLOOKUP($A108,'PW k=4'!$A$2:$D$154,2,0)</f>
        <v>50</v>
      </c>
      <c r="J108" s="9">
        <f>VLOOKUP($A108,'PW k=5'!$A$2:$D$154,2,0)</f>
        <v>17</v>
      </c>
      <c r="L108" s="13">
        <f t="shared" si="1"/>
        <v>-0.05381267514</v>
      </c>
      <c r="N108" s="26" t="s">
        <v>120</v>
      </c>
      <c r="O108" s="13">
        <v>-0.03252061605140108</v>
      </c>
    </row>
    <row r="109">
      <c r="A109" s="26" t="s">
        <v>167</v>
      </c>
      <c r="B109" s="13">
        <f>VLOOKUP($A109,'PW k=2'!$A$2:$D$154,4,0)</f>
        <v>-0.03502006584</v>
      </c>
      <c r="C109" s="13">
        <f>VLOOKUP($A109,'PW k=3'!$A$2:$D$154,4,0)</f>
        <v>-0.04708294943</v>
      </c>
      <c r="D109" s="13">
        <f>VLOOKUP($A109,'PW k=4'!$A$2:$D$154,4,0)</f>
        <v>-0.06676816064</v>
      </c>
      <c r="E109" s="13">
        <f>VLOOKUP($A109,'PW k=5'!$A$2:$D$154,4,0)</f>
        <v>-0.05486399632</v>
      </c>
      <c r="G109" s="9">
        <f>VLOOKUP($A109,'PW k=2'!$A$2:$D$154,2,0)</f>
        <v>535</v>
      </c>
      <c r="H109" s="9">
        <f>VLOOKUP($A109,'PW k=3'!$A$2:$D$154,2,0)</f>
        <v>206</v>
      </c>
      <c r="I109" s="9">
        <f>VLOOKUP($A109,'PW k=4'!$A$2:$D$154,2,0)</f>
        <v>76</v>
      </c>
      <c r="J109" s="9">
        <f>VLOOKUP($A109,'PW k=5'!$A$2:$D$154,2,0)</f>
        <v>28</v>
      </c>
      <c r="L109" s="13">
        <f t="shared" si="1"/>
        <v>-0.04147384013</v>
      </c>
      <c r="N109" s="26" t="s">
        <v>140</v>
      </c>
      <c r="O109" s="13">
        <v>-0.03252463686521561</v>
      </c>
    </row>
    <row r="110">
      <c r="A110" s="26" t="s">
        <v>28</v>
      </c>
      <c r="B110" s="13">
        <f>VLOOKUP($A110,'PW k=2'!$A$2:$D$154,4,0)</f>
        <v>0.00253991293</v>
      </c>
      <c r="C110" s="13">
        <f>VLOOKUP($A110,'PW k=3'!$A$2:$D$154,4,0)</f>
        <v>-0.01966817163</v>
      </c>
      <c r="D110" s="13">
        <f>VLOOKUP($A110,'PW k=4'!$A$2:$D$154,4,0)</f>
        <v>-0.0255014456</v>
      </c>
      <c r="E110" s="13">
        <f>VLOOKUP($A110,'PW k=5'!$A$2:$D$154,4,0)</f>
        <v>-0.001833467996</v>
      </c>
      <c r="G110" s="9">
        <f>VLOOKUP($A110,'PW k=2'!$A$2:$D$154,2,0)</f>
        <v>299</v>
      </c>
      <c r="H110" s="9">
        <f>VLOOKUP($A110,'PW k=3'!$A$2:$D$154,2,0)</f>
        <v>127</v>
      </c>
      <c r="I110" s="9">
        <f>VLOOKUP($A110,'PW k=4'!$A$2:$D$154,2,0)</f>
        <v>48</v>
      </c>
      <c r="J110" s="9">
        <f>VLOOKUP($A110,'PW k=5'!$A$2:$D$154,2,0)</f>
        <v>18</v>
      </c>
      <c r="L110" s="13">
        <f t="shared" si="1"/>
        <v>-0.00608840578</v>
      </c>
      <c r="N110" s="26" t="s">
        <v>116</v>
      </c>
      <c r="O110" s="13">
        <v>-0.033212029816134386</v>
      </c>
    </row>
    <row r="111">
      <c r="A111" s="26" t="s">
        <v>70</v>
      </c>
      <c r="B111" s="13">
        <f>VLOOKUP($A111,'PW k=2'!$A$2:$D$154,4,0)</f>
        <v>-0.003198537604</v>
      </c>
      <c r="C111" s="13">
        <f>VLOOKUP($A111,'PW k=3'!$A$2:$D$154,4,0)</f>
        <v>-0.01690578154</v>
      </c>
      <c r="D111" s="13">
        <f>VLOOKUP($A111,'PW k=4'!$A$2:$D$154,4,0)</f>
        <v>-0.05966602531</v>
      </c>
      <c r="E111" s="13">
        <f>VLOOKUP($A111,'PW k=5'!$A$2:$D$154,4,0)</f>
        <v>-0.0459338785</v>
      </c>
      <c r="G111" s="9">
        <f>VLOOKUP($A111,'PW k=2'!$A$2:$D$154,2,0)</f>
        <v>509</v>
      </c>
      <c r="H111" s="9">
        <f>VLOOKUP($A111,'PW k=3'!$A$2:$D$154,2,0)</f>
        <v>218</v>
      </c>
      <c r="I111" s="9">
        <f>VLOOKUP($A111,'PW k=4'!$A$2:$D$154,2,0)</f>
        <v>83</v>
      </c>
      <c r="J111" s="9">
        <f>VLOOKUP($A111,'PW k=5'!$A$2:$D$154,2,0)</f>
        <v>26</v>
      </c>
      <c r="L111" s="13">
        <f t="shared" si="1"/>
        <v>-0.01370822603</v>
      </c>
      <c r="N111" s="26" t="s">
        <v>152</v>
      </c>
      <c r="O111" s="13">
        <v>-0.033249946783829275</v>
      </c>
    </row>
    <row r="112">
      <c r="A112" s="26" t="s">
        <v>20</v>
      </c>
      <c r="B112" s="13">
        <f>VLOOKUP($A112,'PW k=2'!$A$2:$D$154,4,0)</f>
        <v>0.01127619107</v>
      </c>
      <c r="C112" s="13">
        <f>VLOOKUP($A112,'PW k=3'!$A$2:$D$154,4,0)</f>
        <v>0.003642792488</v>
      </c>
      <c r="D112" s="13">
        <f>VLOOKUP($A112,'PW k=4'!$A$2:$D$154,4,0)</f>
        <v>-0.002546640352</v>
      </c>
      <c r="E112" s="13">
        <f>VLOOKUP($A112,'PW k=5'!$A$2:$D$154,4,0)</f>
        <v>-0.006515965238</v>
      </c>
      <c r="G112" s="9">
        <f>VLOOKUP($A112,'PW k=2'!$A$2:$D$154,2,0)</f>
        <v>441</v>
      </c>
      <c r="H112" s="9">
        <f>VLOOKUP($A112,'PW k=3'!$A$2:$D$154,2,0)</f>
        <v>198</v>
      </c>
      <c r="I112" s="9">
        <f>VLOOKUP($A112,'PW k=4'!$A$2:$D$154,2,0)</f>
        <v>83</v>
      </c>
      <c r="J112" s="9">
        <f>VLOOKUP($A112,'PW k=5'!$A$2:$D$154,2,0)</f>
        <v>32</v>
      </c>
      <c r="L112" s="13">
        <f t="shared" si="1"/>
        <v>0.006994948458</v>
      </c>
      <c r="N112" s="26" t="s">
        <v>127</v>
      </c>
      <c r="O112" s="13">
        <v>-0.0336943338781601</v>
      </c>
    </row>
    <row r="113">
      <c r="A113" s="26" t="s">
        <v>71</v>
      </c>
      <c r="B113" s="13">
        <f>VLOOKUP($A113,'PW k=2'!$A$2:$D$154,4,0)</f>
        <v>0.006832038909</v>
      </c>
      <c r="C113" s="13">
        <f>VLOOKUP($A113,'PW k=3'!$A$2:$D$154,4,0)</f>
        <v>0.009330103777</v>
      </c>
      <c r="D113" s="13">
        <f>VLOOKUP($A113,'PW k=4'!$A$2:$D$154,4,0)</f>
        <v>-0.02007429495</v>
      </c>
      <c r="E113" s="13">
        <f>VLOOKUP($A113,'PW k=5'!$A$2:$D$154,4,0)</f>
        <v>-0.05416143081</v>
      </c>
      <c r="G113" s="9">
        <f>VLOOKUP($A113,'PW k=2'!$A$2:$D$154,2,0)</f>
        <v>447</v>
      </c>
      <c r="H113" s="9">
        <f>VLOOKUP($A113,'PW k=3'!$A$2:$D$154,2,0)</f>
        <v>187</v>
      </c>
      <c r="I113" s="9">
        <f>VLOOKUP($A113,'PW k=4'!$A$2:$D$154,2,0)</f>
        <v>79</v>
      </c>
      <c r="J113" s="9">
        <f>VLOOKUP($A113,'PW k=5'!$A$2:$D$154,2,0)</f>
        <v>30</v>
      </c>
      <c r="L113" s="13">
        <f t="shared" si="1"/>
        <v>0.002137198618</v>
      </c>
      <c r="N113" s="26" t="s">
        <v>184</v>
      </c>
      <c r="O113" s="13">
        <v>-0.03456455132025759</v>
      </c>
    </row>
    <row r="114">
      <c r="A114" s="26" t="s">
        <v>67</v>
      </c>
      <c r="B114" s="13">
        <f>VLOOKUP($A114,'PW k=2'!$A$2:$D$154,4,0)</f>
        <v>0.01059884137</v>
      </c>
      <c r="C114" s="13">
        <f>VLOOKUP($A114,'PW k=3'!$A$2:$D$154,4,0)</f>
        <v>-0.007197389678</v>
      </c>
      <c r="D114" s="13">
        <f>VLOOKUP($A114,'PW k=4'!$A$2:$D$154,4,0)</f>
        <v>0.06829989855</v>
      </c>
      <c r="E114" s="13">
        <f>VLOOKUP($A114,'PW k=5'!$A$2:$D$154,4,0)</f>
        <v>0.01715244774</v>
      </c>
      <c r="G114" s="9">
        <f>VLOOKUP($A114,'PW k=2'!$A$2:$D$154,2,0)</f>
        <v>331</v>
      </c>
      <c r="H114" s="9">
        <f>VLOOKUP($A114,'PW k=3'!$A$2:$D$154,2,0)</f>
        <v>131</v>
      </c>
      <c r="I114" s="9">
        <f>VLOOKUP($A114,'PW k=4'!$A$2:$D$154,2,0)</f>
        <v>48</v>
      </c>
      <c r="J114" s="9">
        <f>VLOOKUP($A114,'PW k=5'!$A$2:$D$154,2,0)</f>
        <v>17</v>
      </c>
      <c r="L114" s="13">
        <f t="shared" si="1"/>
        <v>0.01164202123</v>
      </c>
      <c r="N114" s="26" t="s">
        <v>117</v>
      </c>
      <c r="O114" s="13">
        <v>-0.03502005645274917</v>
      </c>
    </row>
    <row r="115">
      <c r="A115" s="26" t="s">
        <v>148</v>
      </c>
      <c r="B115" s="13">
        <f>VLOOKUP($A115,'PW k=2'!$A$2:$D$154,4,0)</f>
        <v>-0.02595065547</v>
      </c>
      <c r="C115" s="13">
        <f>VLOOKUP($A115,'PW k=3'!$A$2:$D$154,4,0)</f>
        <v>-0.0784986749</v>
      </c>
      <c r="D115" s="13">
        <f>VLOOKUP($A115,'PW k=4'!$A$2:$D$154,4,0)</f>
        <v>-0.07251784398</v>
      </c>
      <c r="E115" s="13">
        <f>VLOOKUP($A115,'PW k=5'!$A$2:$D$154,4,0)</f>
        <v>-0.2681255232</v>
      </c>
      <c r="G115" s="9">
        <f>VLOOKUP($A115,'PW k=2'!$A$2:$D$154,2,0)</f>
        <v>535</v>
      </c>
      <c r="H115" s="9">
        <f>VLOOKUP($A115,'PW k=3'!$A$2:$D$154,2,0)</f>
        <v>206</v>
      </c>
      <c r="I115" s="9">
        <f>VLOOKUP($A115,'PW k=4'!$A$2:$D$154,2,0)</f>
        <v>69</v>
      </c>
      <c r="J115" s="9">
        <f>VLOOKUP($A115,'PW k=5'!$A$2:$D$154,2,0)</f>
        <v>21</v>
      </c>
      <c r="L115" s="13">
        <f t="shared" si="1"/>
        <v>-0.0489635318</v>
      </c>
      <c r="N115" s="26" t="s">
        <v>89</v>
      </c>
      <c r="O115" s="13">
        <v>-0.035166492846844824</v>
      </c>
    </row>
    <row r="116">
      <c r="A116" s="26" t="s">
        <v>81</v>
      </c>
      <c r="B116" s="13">
        <f>VLOOKUP($A116,'PW k=2'!$A$2:$D$154,4,0)</f>
        <v>0.01069003201</v>
      </c>
      <c r="C116" s="13">
        <f>VLOOKUP($A116,'PW k=3'!$A$2:$D$154,4,0)</f>
        <v>0.01154956014</v>
      </c>
      <c r="D116" s="13">
        <f>VLOOKUP($A116,'PW k=4'!$A$2:$D$154,4,0)</f>
        <v>0.002701562682</v>
      </c>
      <c r="E116" s="13">
        <f>VLOOKUP($A116,'PW k=5'!$A$2:$D$154,4,0)</f>
        <v>0.007352936344</v>
      </c>
      <c r="G116" s="9">
        <f>VLOOKUP($A116,'PW k=2'!$A$2:$D$154,2,0)</f>
        <v>603</v>
      </c>
      <c r="H116" s="9">
        <f>VLOOKUP($A116,'PW k=3'!$A$2:$D$154,2,0)</f>
        <v>284</v>
      </c>
      <c r="I116" s="9">
        <f>VLOOKUP($A116,'PW k=4'!$A$2:$D$154,2,0)</f>
        <v>131</v>
      </c>
      <c r="J116" s="9">
        <f>VLOOKUP($A116,'PW k=5'!$A$2:$D$154,2,0)</f>
        <v>58</v>
      </c>
      <c r="L116" s="13">
        <f t="shared" si="1"/>
        <v>0.009764441824</v>
      </c>
      <c r="N116" s="26" t="s">
        <v>82</v>
      </c>
      <c r="O116" s="13">
        <v>-0.03610682579695302</v>
      </c>
    </row>
    <row r="117">
      <c r="A117" s="26" t="s">
        <v>40</v>
      </c>
      <c r="B117" s="13">
        <f>VLOOKUP($A117,'PW k=2'!$A$2:$D$154,4,0)</f>
        <v>0.001227242557</v>
      </c>
      <c r="C117" s="13">
        <f>VLOOKUP($A117,'PW k=3'!$A$2:$D$154,4,0)</f>
        <v>-0.0153707329</v>
      </c>
      <c r="D117" s="13">
        <f>VLOOKUP($A117,'PW k=4'!$A$2:$D$154,4,0)</f>
        <v>-0.07515103364</v>
      </c>
      <c r="E117" s="13">
        <f>VLOOKUP($A117,'PW k=5'!$A$2:$D$154,4,0)</f>
        <v>0.1259422988</v>
      </c>
      <c r="G117" s="9">
        <f>VLOOKUP($A117,'PW k=2'!$A$2:$D$154,2,0)</f>
        <v>373</v>
      </c>
      <c r="H117" s="9">
        <f>VLOOKUP($A117,'PW k=3'!$A$2:$D$154,2,0)</f>
        <v>165</v>
      </c>
      <c r="I117" s="9">
        <f>VLOOKUP($A117,'PW k=4'!$A$2:$D$154,2,0)</f>
        <v>71</v>
      </c>
      <c r="J117" s="9">
        <f>VLOOKUP($A117,'PW k=5'!$A$2:$D$154,2,0)</f>
        <v>27</v>
      </c>
      <c r="L117" s="13">
        <f t="shared" si="1"/>
        <v>-0.006310834554</v>
      </c>
      <c r="N117" s="26" t="s">
        <v>165</v>
      </c>
      <c r="O117" s="13">
        <v>-0.03670594115215506</v>
      </c>
    </row>
    <row r="118">
      <c r="A118" s="26" t="s">
        <v>110</v>
      </c>
      <c r="B118" s="13">
        <f>VLOOKUP($A118,'PW k=2'!$A$2:$D$154,4,0)</f>
        <v>-0.01032993681</v>
      </c>
      <c r="C118" s="13">
        <f>VLOOKUP($A118,'PW k=3'!$A$2:$D$154,4,0)</f>
        <v>0.005833676076</v>
      </c>
      <c r="D118" s="13">
        <f>VLOOKUP($A118,'PW k=4'!$A$2:$D$154,4,0)</f>
        <v>-0.02713137736</v>
      </c>
      <c r="E118" s="13">
        <f>VLOOKUP($A118,'PW k=5'!$A$2:$D$154,4,0)</f>
        <v>-0.02634958175</v>
      </c>
      <c r="G118" s="9">
        <f>VLOOKUP($A118,'PW k=2'!$A$2:$D$154,2,0)</f>
        <v>494</v>
      </c>
      <c r="H118" s="9">
        <f>VLOOKUP($A118,'PW k=3'!$A$2:$D$154,2,0)</f>
        <v>186</v>
      </c>
      <c r="I118" s="9">
        <f>VLOOKUP($A118,'PW k=4'!$A$2:$D$154,2,0)</f>
        <v>74</v>
      </c>
      <c r="J118" s="9">
        <f>VLOOKUP($A118,'PW k=5'!$A$2:$D$154,2,0)</f>
        <v>25</v>
      </c>
      <c r="L118" s="13">
        <f t="shared" si="1"/>
        <v>-0.008580727214</v>
      </c>
      <c r="N118" s="26" t="s">
        <v>142</v>
      </c>
      <c r="O118" s="13">
        <v>-0.03721586942583656</v>
      </c>
    </row>
    <row r="119">
      <c r="A119" s="26" t="s">
        <v>166</v>
      </c>
      <c r="B119" s="13">
        <f>VLOOKUP($A119,'PW k=2'!$A$2:$D$154,4,0)</f>
        <v>-0.02469946548</v>
      </c>
      <c r="C119" s="13">
        <f>VLOOKUP($A119,'PW k=3'!$A$2:$D$154,4,0)</f>
        <v>-0.07106320301</v>
      </c>
      <c r="D119" s="13">
        <f>VLOOKUP($A119,'PW k=4'!$A$2:$D$154,4,0)</f>
        <v>-0.1417964895</v>
      </c>
      <c r="E119" s="13">
        <f>VLOOKUP($A119,'PW k=5'!$A$2:$D$154,4,0)</f>
        <v>-0.2495483701</v>
      </c>
      <c r="G119" s="9">
        <f>VLOOKUP($A119,'PW k=2'!$A$2:$D$154,2,0)</f>
        <v>669</v>
      </c>
      <c r="H119" s="9">
        <f>VLOOKUP($A119,'PW k=3'!$A$2:$D$154,2,0)</f>
        <v>289</v>
      </c>
      <c r="I119" s="9">
        <f>VLOOKUP($A119,'PW k=4'!$A$2:$D$154,2,0)</f>
        <v>110</v>
      </c>
      <c r="J119" s="9">
        <f>VLOOKUP($A119,'PW k=5'!$A$2:$D$154,2,0)</f>
        <v>35</v>
      </c>
      <c r="L119" s="13">
        <f t="shared" si="1"/>
        <v>-0.05566003162</v>
      </c>
      <c r="N119" s="26" t="s">
        <v>103</v>
      </c>
      <c r="O119" s="13">
        <v>-0.037935221870414204</v>
      </c>
    </row>
    <row r="120">
      <c r="A120" s="26" t="s">
        <v>99</v>
      </c>
      <c r="B120" s="13">
        <f>VLOOKUP($A120,'PW k=2'!$A$2:$D$154,4,0)</f>
        <v>-0.03631102888</v>
      </c>
      <c r="C120" s="13">
        <f>VLOOKUP($A120,'PW k=3'!$A$2:$D$154,4,0)</f>
        <v>-0.02957583819</v>
      </c>
      <c r="D120" s="13">
        <f>VLOOKUP($A120,'PW k=4'!$A$2:$D$154,4,0)</f>
        <v>0.01013149297</v>
      </c>
      <c r="E120" s="13">
        <f>VLOOKUP($A120,'PW k=5'!$A$2:$D$154,4,0)</f>
        <v>0.003204640421</v>
      </c>
      <c r="G120" s="9">
        <f>VLOOKUP($A120,'PW k=2'!$A$2:$D$154,2,0)</f>
        <v>353</v>
      </c>
      <c r="H120" s="9">
        <f>VLOOKUP($A120,'PW k=3'!$A$2:$D$154,2,0)</f>
        <v>117</v>
      </c>
      <c r="I120" s="9">
        <f>VLOOKUP($A120,'PW k=4'!$A$2:$D$154,2,0)</f>
        <v>36</v>
      </c>
      <c r="J120" s="9">
        <f>VLOOKUP($A120,'PW k=5'!$A$2:$D$154,2,0)</f>
        <v>12</v>
      </c>
      <c r="L120" s="13">
        <f t="shared" si="1"/>
        <v>-0.03064667342</v>
      </c>
      <c r="N120" s="26" t="s">
        <v>170</v>
      </c>
      <c r="O120" s="13">
        <v>-0.03922166550065141</v>
      </c>
    </row>
    <row r="121">
      <c r="A121" s="26" t="s">
        <v>73</v>
      </c>
      <c r="B121" s="13">
        <f>VLOOKUP($A121,'PW k=2'!$A$2:$D$154,4,0)</f>
        <v>-0.001231305343</v>
      </c>
      <c r="C121" s="13">
        <f>VLOOKUP($A121,'PW k=3'!$A$2:$D$154,4,0)</f>
        <v>-0.07036105481</v>
      </c>
      <c r="D121" s="13">
        <f>VLOOKUP($A121,'PW k=4'!$A$2:$D$154,4,0)</f>
        <v>-0.05228868055</v>
      </c>
      <c r="E121" s="13">
        <f>VLOOKUP($A121,'PW k=5'!$A$2:$D$154,4,0)</f>
        <v>-0.0438982957</v>
      </c>
      <c r="G121" s="9">
        <f>VLOOKUP($A121,'PW k=2'!$A$2:$D$154,2,0)</f>
        <v>689</v>
      </c>
      <c r="H121" s="9">
        <f>VLOOKUP($A121,'PW k=3'!$A$2:$D$154,2,0)</f>
        <v>313</v>
      </c>
      <c r="I121" s="9">
        <f>VLOOKUP($A121,'PW k=4'!$A$2:$D$154,2,0)</f>
        <v>123</v>
      </c>
      <c r="J121" s="9">
        <f>VLOOKUP($A121,'PW k=5'!$A$2:$D$154,2,0)</f>
        <v>51</v>
      </c>
      <c r="L121" s="13">
        <f t="shared" si="1"/>
        <v>-0.02682117375</v>
      </c>
      <c r="N121" s="26" t="s">
        <v>80</v>
      </c>
      <c r="O121" s="13">
        <v>-0.0396845719050083</v>
      </c>
    </row>
    <row r="122">
      <c r="A122" s="26" t="s">
        <v>116</v>
      </c>
      <c r="B122" s="13">
        <f>VLOOKUP($A122,'PW k=2'!$A$2:$D$154,4,0)</f>
        <v>-0.0315976268</v>
      </c>
      <c r="C122" s="13">
        <f>VLOOKUP($A122,'PW k=3'!$A$2:$D$154,4,0)</f>
        <v>-0.02459631777</v>
      </c>
      <c r="D122" s="13">
        <f>VLOOKUP($A122,'PW k=4'!$A$2:$D$154,4,0)</f>
        <v>-0.04980771104</v>
      </c>
      <c r="E122" s="13">
        <f>VLOOKUP($A122,'PW k=5'!$A$2:$D$154,4,0)</f>
        <v>-0.06223251112</v>
      </c>
      <c r="G122" s="9">
        <f>VLOOKUP($A122,'PW k=2'!$A$2:$D$154,2,0)</f>
        <v>662</v>
      </c>
      <c r="H122" s="9">
        <f>VLOOKUP($A122,'PW k=3'!$A$2:$D$154,2,0)</f>
        <v>289</v>
      </c>
      <c r="I122" s="9">
        <f>VLOOKUP($A122,'PW k=4'!$A$2:$D$154,2,0)</f>
        <v>127</v>
      </c>
      <c r="J122" s="9">
        <f>VLOOKUP($A122,'PW k=5'!$A$2:$D$154,2,0)</f>
        <v>50</v>
      </c>
      <c r="L122" s="13">
        <f t="shared" si="1"/>
        <v>-0.03321202982</v>
      </c>
      <c r="N122" s="26" t="s">
        <v>179</v>
      </c>
      <c r="O122" s="13">
        <v>-0.040183445364883705</v>
      </c>
    </row>
    <row r="123">
      <c r="A123" s="26" t="s">
        <v>82</v>
      </c>
      <c r="B123" s="13">
        <f>VLOOKUP($A123,'PW k=2'!$A$2:$D$154,4,0)</f>
        <v>-0.04002845836</v>
      </c>
      <c r="C123" s="13">
        <f>VLOOKUP($A123,'PW k=3'!$A$2:$D$154,4,0)</f>
        <v>-0.03494116598</v>
      </c>
      <c r="D123" s="13">
        <f>VLOOKUP($A123,'PW k=4'!$A$2:$D$154,4,0)</f>
        <v>-0.03230391606</v>
      </c>
      <c r="E123" s="13">
        <f>VLOOKUP($A123,'PW k=5'!$A$2:$D$154,4,0)</f>
        <v>0.01763292558</v>
      </c>
      <c r="G123" s="9">
        <f>VLOOKUP($A123,'PW k=2'!$A$2:$D$154,2,0)</f>
        <v>477</v>
      </c>
      <c r="H123" s="9">
        <f>VLOOKUP($A123,'PW k=3'!$A$2:$D$154,2,0)</f>
        <v>181</v>
      </c>
      <c r="I123" s="9">
        <f>VLOOKUP($A123,'PW k=4'!$A$2:$D$154,2,0)</f>
        <v>69</v>
      </c>
      <c r="J123" s="9">
        <f>VLOOKUP($A123,'PW k=5'!$A$2:$D$154,2,0)</f>
        <v>26</v>
      </c>
      <c r="L123" s="13">
        <f t="shared" si="1"/>
        <v>-0.0361068258</v>
      </c>
      <c r="N123" s="26" t="s">
        <v>167</v>
      </c>
      <c r="O123" s="13">
        <v>-0.04147384013332951</v>
      </c>
    </row>
    <row r="124">
      <c r="A124" s="26" t="s">
        <v>190</v>
      </c>
      <c r="B124" s="13">
        <f>VLOOKUP($A124,'PW k=2'!$A$2:$D$154,4,0)</f>
        <v>-0.0545432612</v>
      </c>
      <c r="C124" s="13">
        <f>VLOOKUP($A124,'PW k=3'!$A$2:$D$154,4,0)</f>
        <v>-0.07242145964</v>
      </c>
      <c r="D124" s="13">
        <f>VLOOKUP($A124,'PW k=4'!$A$2:$D$154,4,0)</f>
        <v>0.03275615137</v>
      </c>
      <c r="E124" s="13">
        <f>VLOOKUP($A124,'PW k=5'!$A$2:$D$154,4,0)</f>
        <v>0.145308089</v>
      </c>
      <c r="G124" s="9">
        <f>VLOOKUP($A124,'PW k=2'!$A$2:$D$154,2,0)</f>
        <v>219</v>
      </c>
      <c r="H124" s="9">
        <f>VLOOKUP($A124,'PW k=3'!$A$2:$D$154,2,0)</f>
        <v>82</v>
      </c>
      <c r="I124" s="9">
        <f>VLOOKUP($A124,'PW k=4'!$A$2:$D$154,2,0)</f>
        <v>29</v>
      </c>
      <c r="J124" s="9">
        <f>VLOOKUP($A124,'PW k=5'!$A$2:$D$154,2,0)</f>
        <v>12</v>
      </c>
      <c r="L124" s="13">
        <f t="shared" si="1"/>
        <v>-0.04441493695</v>
      </c>
      <c r="N124" s="26" t="s">
        <v>161</v>
      </c>
      <c r="O124" s="13">
        <v>-0.04287179800737352</v>
      </c>
    </row>
    <row r="125">
      <c r="A125" s="26" t="s">
        <v>132</v>
      </c>
      <c r="B125" s="13">
        <f>VLOOKUP($A125,'PW k=2'!$A$2:$D$154,4,0)</f>
        <v>-0.001279780052</v>
      </c>
      <c r="C125" s="13">
        <f>VLOOKUP($A125,'PW k=3'!$A$2:$D$154,4,0)</f>
        <v>-0.04291307719</v>
      </c>
      <c r="D125" s="13">
        <f>VLOOKUP($A125,'PW k=4'!$A$2:$D$154,4,0)</f>
        <v>-0.08000184537</v>
      </c>
      <c r="E125" s="13">
        <f>VLOOKUP($A125,'PW k=5'!$A$2:$D$154,4,0)</f>
        <v>-0.001469817799</v>
      </c>
      <c r="G125" s="9">
        <f>VLOOKUP($A125,'PW k=2'!$A$2:$D$154,2,0)</f>
        <v>434</v>
      </c>
      <c r="H125" s="9">
        <f>VLOOKUP($A125,'PW k=3'!$A$2:$D$154,2,0)</f>
        <v>186</v>
      </c>
      <c r="I125" s="9">
        <f>VLOOKUP($A125,'PW k=4'!$A$2:$D$154,2,0)</f>
        <v>70</v>
      </c>
      <c r="J125" s="9">
        <f>VLOOKUP($A125,'PW k=5'!$A$2:$D$154,2,0)</f>
        <v>25</v>
      </c>
      <c r="L125" s="13">
        <f t="shared" si="1"/>
        <v>-0.01982396017</v>
      </c>
      <c r="N125" s="26" t="s">
        <v>98</v>
      </c>
      <c r="O125" s="13">
        <v>-0.04342988928179794</v>
      </c>
    </row>
    <row r="126">
      <c r="A126" s="26" t="s">
        <v>79</v>
      </c>
      <c r="B126" s="13">
        <f>VLOOKUP($A126,'PW k=2'!$A$2:$D$154,4,0)</f>
        <v>0.002785129171</v>
      </c>
      <c r="C126" s="13">
        <f>VLOOKUP($A126,'PW k=3'!$A$2:$D$154,4,0)</f>
        <v>-0.01881899953</v>
      </c>
      <c r="D126" s="13">
        <f>VLOOKUP($A126,'PW k=4'!$A$2:$D$154,4,0)</f>
        <v>-0.01271544405</v>
      </c>
      <c r="E126" s="13">
        <f>VLOOKUP($A126,'PW k=5'!$A$2:$D$154,4,0)</f>
        <v>0.01952674898</v>
      </c>
      <c r="G126" s="9">
        <f>VLOOKUP($A126,'PW k=2'!$A$2:$D$154,2,0)</f>
        <v>520</v>
      </c>
      <c r="H126" s="9">
        <f>VLOOKUP($A126,'PW k=3'!$A$2:$D$154,2,0)</f>
        <v>219</v>
      </c>
      <c r="I126" s="9">
        <f>VLOOKUP($A126,'PW k=4'!$A$2:$D$154,2,0)</f>
        <v>88</v>
      </c>
      <c r="J126" s="9">
        <f>VLOOKUP($A126,'PW k=5'!$A$2:$D$154,2,0)</f>
        <v>34</v>
      </c>
      <c r="L126" s="13">
        <f t="shared" si="1"/>
        <v>-0.003633151381</v>
      </c>
      <c r="N126" s="26" t="s">
        <v>164</v>
      </c>
      <c r="O126" s="13">
        <v>-0.04391421218647269</v>
      </c>
    </row>
    <row r="127">
      <c r="A127" s="26" t="s">
        <v>101</v>
      </c>
      <c r="B127" s="13">
        <f>VLOOKUP($A127,'PW k=2'!$A$2:$D$154,4,0)</f>
        <v>-0.01175429696</v>
      </c>
      <c r="C127" s="13">
        <f>VLOOKUP($A127,'PW k=3'!$A$2:$D$154,4,0)</f>
        <v>0.00110941526</v>
      </c>
      <c r="D127" s="13">
        <f>VLOOKUP($A127,'PW k=4'!$A$2:$D$154,4,0)</f>
        <v>-0.01406695316</v>
      </c>
      <c r="E127" s="13">
        <f>VLOOKUP($A127,'PW k=5'!$A$2:$D$154,4,0)</f>
        <v>0.0345882994</v>
      </c>
      <c r="G127" s="9">
        <f>VLOOKUP($A127,'PW k=2'!$A$2:$D$154,2,0)</f>
        <v>455</v>
      </c>
      <c r="H127" s="9">
        <f>VLOOKUP($A127,'PW k=3'!$A$2:$D$154,2,0)</f>
        <v>178</v>
      </c>
      <c r="I127" s="9">
        <f>VLOOKUP($A127,'PW k=4'!$A$2:$D$154,2,0)</f>
        <v>75</v>
      </c>
      <c r="J127" s="9">
        <f>VLOOKUP($A127,'PW k=5'!$A$2:$D$154,2,0)</f>
        <v>28</v>
      </c>
      <c r="L127" s="13">
        <f t="shared" si="1"/>
        <v>-0.007115867258</v>
      </c>
      <c r="N127" s="26" t="s">
        <v>190</v>
      </c>
      <c r="O127" s="13">
        <v>-0.0444149369473028</v>
      </c>
    </row>
    <row r="128">
      <c r="A128" s="26" t="s">
        <v>123</v>
      </c>
      <c r="B128" s="13">
        <f>VLOOKUP($A128,'PW k=2'!$A$2:$D$154,4,0)</f>
        <v>-0.01724374055</v>
      </c>
      <c r="C128" s="13">
        <f>VLOOKUP($A128,'PW k=3'!$A$2:$D$154,4,0)</f>
        <v>-0.03597275432</v>
      </c>
      <c r="D128" s="13">
        <f>VLOOKUP($A128,'PW k=4'!$A$2:$D$154,4,0)</f>
        <v>-0.07504855199</v>
      </c>
      <c r="E128" s="13">
        <f>VLOOKUP($A128,'PW k=5'!$A$2:$D$154,4,0)</f>
        <v>0.06007322123</v>
      </c>
      <c r="G128" s="9">
        <f>VLOOKUP($A128,'PW k=2'!$A$2:$D$154,2,0)</f>
        <v>467</v>
      </c>
      <c r="H128" s="9">
        <f>VLOOKUP($A128,'PW k=3'!$A$2:$D$154,2,0)</f>
        <v>186</v>
      </c>
      <c r="I128" s="9">
        <f>VLOOKUP($A128,'PW k=4'!$A$2:$D$154,2,0)</f>
        <v>69</v>
      </c>
      <c r="J128" s="9">
        <f>VLOOKUP($A128,'PW k=5'!$A$2:$D$154,2,0)</f>
        <v>22</v>
      </c>
      <c r="L128" s="13">
        <f t="shared" si="1"/>
        <v>-0.02500066984</v>
      </c>
      <c r="N128" s="26" t="s">
        <v>181</v>
      </c>
      <c r="O128" s="13">
        <v>-0.044437511113401884</v>
      </c>
    </row>
    <row r="129">
      <c r="A129" s="26" t="s">
        <v>46</v>
      </c>
      <c r="B129" s="13">
        <f>VLOOKUP($A129,'PW k=2'!$A$2:$D$154,4,0)</f>
        <v>0.00265322616</v>
      </c>
      <c r="C129" s="13">
        <f>VLOOKUP($A129,'PW k=3'!$A$2:$D$154,4,0)</f>
        <v>-0.01251403332</v>
      </c>
      <c r="D129" s="13">
        <f>VLOOKUP($A129,'PW k=4'!$A$2:$D$154,4,0)</f>
        <v>-0.0002279805585</v>
      </c>
      <c r="E129" s="13">
        <f>VLOOKUP($A129,'PW k=5'!$A$2:$D$154,4,0)</f>
        <v>0.06463005684</v>
      </c>
      <c r="G129" s="9">
        <f>VLOOKUP($A129,'PW k=2'!$A$2:$D$154,2,0)</f>
        <v>419</v>
      </c>
      <c r="H129" s="9">
        <f>VLOOKUP($A129,'PW k=3'!$A$2:$D$154,2,0)</f>
        <v>182</v>
      </c>
      <c r="I129" s="9">
        <f>VLOOKUP($A129,'PW k=4'!$A$2:$D$154,2,0)</f>
        <v>75</v>
      </c>
      <c r="J129" s="9">
        <f>VLOOKUP($A129,'PW k=5'!$A$2:$D$154,2,0)</f>
        <v>29</v>
      </c>
      <c r="L129" s="13">
        <f t="shared" si="1"/>
        <v>0.0009805968841</v>
      </c>
      <c r="N129" s="26" t="s">
        <v>176</v>
      </c>
      <c r="O129" s="13">
        <v>-0.04547392777020186</v>
      </c>
    </row>
    <row r="130">
      <c r="A130" s="26" t="s">
        <v>18</v>
      </c>
      <c r="B130" s="13">
        <f>VLOOKUP($A130,'PW k=2'!$A$2:$D$154,4,0)</f>
        <v>0.00988651215</v>
      </c>
      <c r="C130" s="13">
        <f>VLOOKUP($A130,'PW k=3'!$A$2:$D$154,4,0)</f>
        <v>-0.02282064705</v>
      </c>
      <c r="D130" s="13">
        <f>VLOOKUP($A130,'PW k=4'!$A$2:$D$154,4,0)</f>
        <v>0.01679536223</v>
      </c>
      <c r="E130" s="13">
        <f>VLOOKUP($A130,'PW k=5'!$A$2:$D$154,4,0)</f>
        <v>-0.04258441746</v>
      </c>
      <c r="G130" s="9">
        <f>VLOOKUP($A130,'PW k=2'!$A$2:$D$154,2,0)</f>
        <v>328</v>
      </c>
      <c r="H130" s="9">
        <f>VLOOKUP($A130,'PW k=3'!$A$2:$D$154,2,0)</f>
        <v>139</v>
      </c>
      <c r="I130" s="9">
        <f>VLOOKUP($A130,'PW k=4'!$A$2:$D$154,2,0)</f>
        <v>55</v>
      </c>
      <c r="J130" s="9">
        <f>VLOOKUP($A130,'PW k=5'!$A$2:$D$154,2,0)</f>
        <v>22</v>
      </c>
      <c r="L130" s="13">
        <f t="shared" si="1"/>
        <v>0.0001058709256</v>
      </c>
      <c r="N130" s="26" t="s">
        <v>125</v>
      </c>
      <c r="O130" s="13">
        <v>-0.045586244219026274</v>
      </c>
    </row>
    <row r="131">
      <c r="A131" s="26" t="s">
        <v>153</v>
      </c>
      <c r="B131" s="13">
        <f>VLOOKUP($A131,'PW k=2'!$A$2:$D$154,4,0)</f>
        <v>-0.02862669381</v>
      </c>
      <c r="C131" s="13">
        <f>VLOOKUP($A131,'PW k=3'!$A$2:$D$154,4,0)</f>
        <v>-0.07791236419</v>
      </c>
      <c r="D131" s="13">
        <f>VLOOKUP($A131,'PW k=4'!$A$2:$D$154,4,0)</f>
        <v>-0.156094347</v>
      </c>
      <c r="E131" s="13">
        <f>VLOOKUP($A131,'PW k=5'!$A$2:$D$154,4,0)</f>
        <v>-0.1736973232</v>
      </c>
      <c r="G131" s="9">
        <f>VLOOKUP($A131,'PW k=2'!$A$2:$D$154,2,0)</f>
        <v>306</v>
      </c>
      <c r="H131" s="9">
        <f>VLOOKUP($A131,'PW k=3'!$A$2:$D$154,2,0)</f>
        <v>98</v>
      </c>
      <c r="I131" s="9">
        <f>VLOOKUP($A131,'PW k=4'!$A$2:$D$154,2,0)</f>
        <v>27</v>
      </c>
      <c r="J131" s="9">
        <f>VLOOKUP($A131,'PW k=5'!$A$2:$D$154,2,0)</f>
        <v>5</v>
      </c>
      <c r="L131" s="13">
        <f t="shared" si="1"/>
        <v>-0.04926195867</v>
      </c>
      <c r="N131" s="26" t="s">
        <v>156</v>
      </c>
      <c r="O131" s="13">
        <v>-0.04587170034335759</v>
      </c>
    </row>
    <row r="132">
      <c r="A132" s="26" t="s">
        <v>165</v>
      </c>
      <c r="B132" s="13">
        <f>VLOOKUP($A132,'PW k=2'!$A$2:$D$154,4,0)</f>
        <v>-0.03615319119</v>
      </c>
      <c r="C132" s="13">
        <f>VLOOKUP($A132,'PW k=3'!$A$2:$D$154,4,0)</f>
        <v>-0.04181902612</v>
      </c>
      <c r="D132" s="13">
        <f>VLOOKUP($A132,'PW k=4'!$A$2:$D$154,4,0)</f>
        <v>-0.04448672796</v>
      </c>
      <c r="E132" s="13">
        <f>VLOOKUP($A132,'PW k=5'!$A$2:$D$154,4,0)</f>
        <v>0.005877395458</v>
      </c>
      <c r="G132" s="9">
        <f>VLOOKUP($A132,'PW k=2'!$A$2:$D$154,2,0)</f>
        <v>784</v>
      </c>
      <c r="H132" s="9">
        <f>VLOOKUP($A132,'PW k=3'!$A$2:$D$154,2,0)</f>
        <v>320</v>
      </c>
      <c r="I132" s="9">
        <f>VLOOKUP($A132,'PW k=4'!$A$2:$D$154,2,0)</f>
        <v>130</v>
      </c>
      <c r="J132" s="9">
        <f>VLOOKUP($A132,'PW k=5'!$A$2:$D$154,2,0)</f>
        <v>52</v>
      </c>
      <c r="L132" s="13">
        <f t="shared" si="1"/>
        <v>-0.03670594115</v>
      </c>
      <c r="N132" s="26" t="s">
        <v>186</v>
      </c>
      <c r="O132" s="13">
        <v>-0.04629221782258487</v>
      </c>
    </row>
    <row r="133">
      <c r="A133" s="26" t="s">
        <v>157</v>
      </c>
      <c r="B133" s="13">
        <f>VLOOKUP($A133,'PW k=2'!$A$2:$D$154,4,0)</f>
        <v>-0.01658070643</v>
      </c>
      <c r="C133" s="13">
        <f>VLOOKUP($A133,'PW k=3'!$A$2:$D$154,4,0)</f>
        <v>0.02029873532</v>
      </c>
      <c r="D133" s="13">
        <f>VLOOKUP($A133,'PW k=4'!$A$2:$D$154,4,0)</f>
        <v>0.02224314226</v>
      </c>
      <c r="E133" s="13">
        <f>VLOOKUP($A133,'PW k=5'!$A$2:$D$154,4,0)</f>
        <v>0.1130404145</v>
      </c>
      <c r="G133" s="9">
        <f>VLOOKUP($A133,'PW k=2'!$A$2:$D$154,2,0)</f>
        <v>456</v>
      </c>
      <c r="H133" s="9">
        <f>VLOOKUP($A133,'PW k=3'!$A$2:$D$154,2,0)</f>
        <v>182</v>
      </c>
      <c r="I133" s="9">
        <f>VLOOKUP($A133,'PW k=4'!$A$2:$D$154,2,0)</f>
        <v>77</v>
      </c>
      <c r="J133" s="9">
        <f>VLOOKUP($A133,'PW k=5'!$A$2:$D$154,2,0)</f>
        <v>32</v>
      </c>
      <c r="L133" s="13">
        <f t="shared" si="1"/>
        <v>0.001959281009</v>
      </c>
      <c r="N133" s="26" t="s">
        <v>155</v>
      </c>
      <c r="O133" s="13">
        <v>-0.04645804652502203</v>
      </c>
    </row>
    <row r="134">
      <c r="A134" s="26" t="s">
        <v>188</v>
      </c>
      <c r="B134" s="13">
        <f>VLOOKUP($A134,'PW k=2'!$A$2:$D$154,4,0)</f>
        <v>-0.02899500256</v>
      </c>
      <c r="C134" s="13">
        <f>VLOOKUP($A134,'PW k=3'!$A$2:$D$154,4,0)</f>
        <v>-0.1228860803</v>
      </c>
      <c r="D134" s="13">
        <f>VLOOKUP($A134,'PW k=4'!$A$2:$D$154,4,0)</f>
        <v>-0.08522943316</v>
      </c>
      <c r="E134" s="13">
        <f>VLOOKUP($A134,'PW k=5'!$A$2:$D$154,4,0)</f>
        <v>-0.4178834963</v>
      </c>
      <c r="G134" s="9">
        <f>VLOOKUP($A134,'PW k=2'!$A$2:$D$154,2,0)</f>
        <v>212</v>
      </c>
      <c r="H134" s="9">
        <f>VLOOKUP($A134,'PW k=3'!$A$2:$D$154,2,0)</f>
        <v>75</v>
      </c>
      <c r="I134" s="9">
        <f>VLOOKUP($A134,'PW k=4'!$A$2:$D$154,2,0)</f>
        <v>19</v>
      </c>
      <c r="J134" s="9">
        <f>VLOOKUP($A134,'PW k=5'!$A$2:$D$154,2,0)</f>
        <v>3</v>
      </c>
      <c r="L134" s="13">
        <f t="shared" si="1"/>
        <v>-0.05901749607</v>
      </c>
      <c r="N134" s="26" t="s">
        <v>121</v>
      </c>
      <c r="O134" s="13">
        <v>-0.04740167342865345</v>
      </c>
    </row>
    <row r="135">
      <c r="A135" s="26" t="s">
        <v>182</v>
      </c>
      <c r="B135" s="13">
        <f>VLOOKUP($A135,'PW k=2'!$A$2:$D$154,4,0)</f>
        <v>-0.05104666343</v>
      </c>
      <c r="C135" s="13">
        <f>VLOOKUP($A135,'PW k=3'!$A$2:$D$154,4,0)</f>
        <v>-0.1306798098</v>
      </c>
      <c r="D135" s="13">
        <f>VLOOKUP($A135,'PW k=4'!$A$2:$D$154,4,0)</f>
        <v>-0.09037709868</v>
      </c>
      <c r="E135" s="13">
        <f>VLOOKUP($A135,'PW k=5'!$A$2:$D$154,4,0)</f>
        <v>-0.2279410287</v>
      </c>
      <c r="G135" s="9">
        <f>VLOOKUP($A135,'PW k=2'!$A$2:$D$154,2,0)</f>
        <v>303</v>
      </c>
      <c r="H135" s="9">
        <f>VLOOKUP($A135,'PW k=3'!$A$2:$D$154,2,0)</f>
        <v>115</v>
      </c>
      <c r="I135" s="9">
        <f>VLOOKUP($A135,'PW k=4'!$A$2:$D$154,2,0)</f>
        <v>37</v>
      </c>
      <c r="J135" s="9">
        <f>VLOOKUP($A135,'PW k=5'!$A$2:$D$154,2,0)</f>
        <v>14</v>
      </c>
      <c r="L135" s="13">
        <f t="shared" si="1"/>
        <v>-0.07895617099</v>
      </c>
      <c r="N135" s="26" t="s">
        <v>174</v>
      </c>
      <c r="O135" s="13">
        <v>-0.048056576658497614</v>
      </c>
    </row>
    <row r="136">
      <c r="A136" s="26" t="s">
        <v>175</v>
      </c>
      <c r="B136" s="13">
        <f>VLOOKUP($A136,'PW k=2'!$A$2:$D$154,4,0)</f>
        <v>-0.03835319744</v>
      </c>
      <c r="C136" s="13">
        <f>VLOOKUP($A136,'PW k=3'!$A$2:$D$154,4,0)</f>
        <v>-0.02970061423</v>
      </c>
      <c r="D136" s="13">
        <f>VLOOKUP($A136,'PW k=4'!$A$2:$D$154,4,0)</f>
        <v>0.007370883501</v>
      </c>
      <c r="E136" s="13">
        <f>VLOOKUP($A136,'PW k=5'!$A$2:$D$154,4,0)</f>
        <v>-0.02662690433</v>
      </c>
      <c r="G136" s="9">
        <f>VLOOKUP($A136,'PW k=2'!$A$2:$D$154,2,0)</f>
        <v>610</v>
      </c>
      <c r="H136" s="9">
        <f>VLOOKUP($A136,'PW k=3'!$A$2:$D$154,2,0)</f>
        <v>242</v>
      </c>
      <c r="I136" s="9">
        <f>VLOOKUP($A136,'PW k=4'!$A$2:$D$154,2,0)</f>
        <v>95</v>
      </c>
      <c r="J136" s="9">
        <f>VLOOKUP($A136,'PW k=5'!$A$2:$D$154,2,0)</f>
        <v>42</v>
      </c>
      <c r="L136" s="13">
        <f t="shared" si="1"/>
        <v>-0.03134590003</v>
      </c>
      <c r="N136" s="26" t="s">
        <v>148</v>
      </c>
      <c r="O136" s="13">
        <v>-0.04896353180453682</v>
      </c>
    </row>
    <row r="137">
      <c r="A137" s="26" t="s">
        <v>66</v>
      </c>
      <c r="B137" s="13">
        <f>VLOOKUP($A137,'PW k=2'!$A$2:$D$154,4,0)</f>
        <v>0.003272955425</v>
      </c>
      <c r="C137" s="13">
        <f>VLOOKUP($A137,'PW k=3'!$A$2:$D$154,4,0)</f>
        <v>0.02784845847</v>
      </c>
      <c r="D137" s="13">
        <f>VLOOKUP($A137,'PW k=4'!$A$2:$D$154,4,0)</f>
        <v>-0.005221285353</v>
      </c>
      <c r="E137" s="13">
        <f>VLOOKUP($A137,'PW k=5'!$A$2:$D$154,4,0)</f>
        <v>0.002457224872</v>
      </c>
      <c r="G137" s="9">
        <f>VLOOKUP($A137,'PW k=2'!$A$2:$D$154,2,0)</f>
        <v>715</v>
      </c>
      <c r="H137" s="9">
        <f>VLOOKUP($A137,'PW k=3'!$A$2:$D$154,2,0)</f>
        <v>332</v>
      </c>
      <c r="I137" s="9">
        <f>VLOOKUP($A137,'PW k=4'!$A$2:$D$154,2,0)</f>
        <v>160</v>
      </c>
      <c r="J137" s="9">
        <f>VLOOKUP($A137,'PW k=5'!$A$2:$D$154,2,0)</f>
        <v>72</v>
      </c>
      <c r="L137" s="13">
        <f t="shared" si="1"/>
        <v>0.00854367934</v>
      </c>
      <c r="N137" s="26" t="s">
        <v>153</v>
      </c>
      <c r="O137" s="13">
        <v>-0.049261958669005255</v>
      </c>
    </row>
    <row r="138">
      <c r="A138" s="26" t="s">
        <v>22</v>
      </c>
      <c r="B138" s="13">
        <f>VLOOKUP($A138,'PW k=2'!$A$2:$D$154,4,0)</f>
        <v>0.02257597331</v>
      </c>
      <c r="C138" s="13">
        <f>VLOOKUP($A138,'PW k=3'!$A$2:$D$154,4,0)</f>
        <v>0.01069659115</v>
      </c>
      <c r="D138" s="13">
        <f>VLOOKUP($A138,'PW k=4'!$A$2:$D$154,4,0)</f>
        <v>0.0334583763</v>
      </c>
      <c r="E138" s="13">
        <f>VLOOKUP($A138,'PW k=5'!$A$2:$D$154,4,0)</f>
        <v>-0.003416731531</v>
      </c>
      <c r="G138" s="9">
        <f>VLOOKUP($A138,'PW k=2'!$A$2:$D$154,2,0)</f>
        <v>458</v>
      </c>
      <c r="H138" s="9">
        <f>VLOOKUP($A138,'PW k=3'!$A$2:$D$154,2,0)</f>
        <v>203</v>
      </c>
      <c r="I138" s="9">
        <f>VLOOKUP($A138,'PW k=4'!$A$2:$D$154,2,0)</f>
        <v>85</v>
      </c>
      <c r="J138" s="9">
        <f>VLOOKUP($A138,'PW k=5'!$A$2:$D$154,2,0)</f>
        <v>36</v>
      </c>
      <c r="L138" s="13">
        <f t="shared" si="1"/>
        <v>0.01947846986</v>
      </c>
      <c r="N138" s="26" t="s">
        <v>134</v>
      </c>
      <c r="O138" s="13">
        <v>-0.049403127494954874</v>
      </c>
    </row>
    <row r="139">
      <c r="A139" s="26" t="s">
        <v>65</v>
      </c>
      <c r="B139" s="13">
        <f>VLOOKUP($A139,'PW k=2'!$A$2:$D$154,4,0)</f>
        <v>-0.005408362</v>
      </c>
      <c r="C139" s="13">
        <f>VLOOKUP($A139,'PW k=3'!$A$2:$D$154,4,0)</f>
        <v>-0.01786527337</v>
      </c>
      <c r="D139" s="13">
        <f>VLOOKUP($A139,'PW k=4'!$A$2:$D$154,4,0)</f>
        <v>-0.007540431267</v>
      </c>
      <c r="E139" s="13">
        <f>VLOOKUP($A139,'PW k=5'!$A$2:$D$154,4,0)</f>
        <v>0.02678374892</v>
      </c>
      <c r="G139" s="9">
        <f>VLOOKUP($A139,'PW k=2'!$A$2:$D$154,2,0)</f>
        <v>546</v>
      </c>
      <c r="H139" s="9">
        <f>VLOOKUP($A139,'PW k=3'!$A$2:$D$154,2,0)</f>
        <v>263</v>
      </c>
      <c r="I139" s="9">
        <f>VLOOKUP($A139,'PW k=4'!$A$2:$D$154,2,0)</f>
        <v>121</v>
      </c>
      <c r="J139" s="9">
        <f>VLOOKUP($A139,'PW k=5'!$A$2:$D$154,2,0)</f>
        <v>59</v>
      </c>
      <c r="L139" s="13">
        <f t="shared" si="1"/>
        <v>-0.00706135849</v>
      </c>
      <c r="N139" s="26" t="s">
        <v>162</v>
      </c>
      <c r="O139" s="13">
        <v>-0.049405098212959804</v>
      </c>
    </row>
    <row r="140">
      <c r="A140" s="26" t="s">
        <v>113</v>
      </c>
      <c r="B140" s="13">
        <f>VLOOKUP($A140,'PW k=2'!$A$2:$D$154,4,0)</f>
        <v>-0.006214905419</v>
      </c>
      <c r="C140" s="13">
        <f>VLOOKUP($A140,'PW k=3'!$A$2:$D$154,4,0)</f>
        <v>-0.02732007942</v>
      </c>
      <c r="D140" s="13">
        <f>VLOOKUP($A140,'PW k=4'!$A$2:$D$154,4,0)</f>
        <v>-0.06436193941</v>
      </c>
      <c r="E140" s="13">
        <f>VLOOKUP($A140,'PW k=5'!$A$2:$D$154,4,0)</f>
        <v>-0.03011467432</v>
      </c>
      <c r="G140" s="9">
        <f>VLOOKUP($A140,'PW k=2'!$A$2:$D$154,2,0)</f>
        <v>551</v>
      </c>
      <c r="H140" s="9">
        <f>VLOOKUP($A140,'PW k=3'!$A$2:$D$154,2,0)</f>
        <v>216</v>
      </c>
      <c r="I140" s="9">
        <f>VLOOKUP($A140,'PW k=4'!$A$2:$D$154,2,0)</f>
        <v>83</v>
      </c>
      <c r="J140" s="9">
        <f>VLOOKUP($A140,'PW k=5'!$A$2:$D$154,2,0)</f>
        <v>28</v>
      </c>
      <c r="L140" s="13">
        <f t="shared" si="1"/>
        <v>-0.01766606138</v>
      </c>
      <c r="N140" s="26" t="s">
        <v>183</v>
      </c>
      <c r="O140" s="13">
        <v>-0.049674174528412884</v>
      </c>
    </row>
    <row r="141">
      <c r="A141" s="26" t="s">
        <v>93</v>
      </c>
      <c r="B141" s="13">
        <f>VLOOKUP($A141,'PW k=2'!$A$2:$D$154,4,0)</f>
        <v>0.02714459054</v>
      </c>
      <c r="C141" s="13">
        <f>VLOOKUP($A141,'PW k=3'!$A$2:$D$154,4,0)</f>
        <v>0.07040062327</v>
      </c>
      <c r="D141" s="13">
        <f>VLOOKUP($A141,'PW k=4'!$A$2:$D$154,4,0)</f>
        <v>0.1222350506</v>
      </c>
      <c r="E141" s="13">
        <f>VLOOKUP($A141,'PW k=5'!$A$2:$D$154,4,0)</f>
        <v>0.1706210073</v>
      </c>
      <c r="G141" s="9">
        <f>VLOOKUP($A141,'PW k=2'!$A$2:$D$154,2,0)</f>
        <v>333</v>
      </c>
      <c r="H141" s="9">
        <f>VLOOKUP($A141,'PW k=3'!$A$2:$D$154,2,0)</f>
        <v>138</v>
      </c>
      <c r="I141" s="9">
        <f>VLOOKUP($A141,'PW k=4'!$A$2:$D$154,2,0)</f>
        <v>62</v>
      </c>
      <c r="J141" s="9">
        <f>VLOOKUP($A141,'PW k=5'!$A$2:$D$154,2,0)</f>
        <v>30</v>
      </c>
      <c r="L141" s="13">
        <f t="shared" si="1"/>
        <v>0.05586436593</v>
      </c>
      <c r="N141" s="26" t="s">
        <v>74</v>
      </c>
      <c r="O141" s="13">
        <v>-0.050929793250126476</v>
      </c>
    </row>
    <row r="142">
      <c r="A142" s="26" t="s">
        <v>128</v>
      </c>
      <c r="B142" s="13">
        <f>VLOOKUP($A142,'PW k=2'!$A$2:$D$154,4,0)</f>
        <v>-0.003227034138</v>
      </c>
      <c r="C142" s="13">
        <f>VLOOKUP($A142,'PW k=3'!$A$2:$D$154,4,0)</f>
        <v>-0.01245012238</v>
      </c>
      <c r="D142" s="13">
        <f>VLOOKUP($A142,'PW k=4'!$A$2:$D$154,4,0)</f>
        <v>-0.0415444057</v>
      </c>
      <c r="E142" s="13">
        <f>VLOOKUP($A142,'PW k=5'!$A$2:$D$154,4,0)</f>
        <v>0.06246241591</v>
      </c>
      <c r="G142" s="9">
        <f>VLOOKUP($A142,'PW k=2'!$A$2:$D$154,2,0)</f>
        <v>787</v>
      </c>
      <c r="H142" s="9">
        <f>VLOOKUP($A142,'PW k=3'!$A$2:$D$154,2,0)</f>
        <v>343</v>
      </c>
      <c r="I142" s="9">
        <f>VLOOKUP($A142,'PW k=4'!$A$2:$D$154,2,0)</f>
        <v>147</v>
      </c>
      <c r="J142" s="9">
        <f>VLOOKUP($A142,'PW k=5'!$A$2:$D$154,2,0)</f>
        <v>60</v>
      </c>
      <c r="L142" s="13">
        <f t="shared" si="1"/>
        <v>-0.006858152975</v>
      </c>
      <c r="N142" s="26" t="s">
        <v>168</v>
      </c>
      <c r="O142" s="13">
        <v>-0.05202074339757879</v>
      </c>
    </row>
    <row r="143">
      <c r="A143" s="26" t="s">
        <v>115</v>
      </c>
      <c r="B143" s="13">
        <f>VLOOKUP($A143,'PW k=2'!$A$2:$D$154,4,0)</f>
        <v>0.006302048613</v>
      </c>
      <c r="C143" s="13">
        <f>VLOOKUP($A143,'PW k=3'!$A$2:$D$154,4,0)</f>
        <v>-0.004765102469</v>
      </c>
      <c r="D143" s="13">
        <f>VLOOKUP($A143,'PW k=4'!$A$2:$D$154,4,0)</f>
        <v>-0.02075677079</v>
      </c>
      <c r="E143" s="13">
        <f>VLOOKUP($A143,'PW k=5'!$A$2:$D$154,4,0)</f>
        <v>-0.09294650752</v>
      </c>
      <c r="G143" s="9">
        <f>VLOOKUP($A143,'PW k=2'!$A$2:$D$154,2,0)</f>
        <v>275</v>
      </c>
      <c r="H143" s="9">
        <f>VLOOKUP($A143,'PW k=3'!$A$2:$D$154,2,0)</f>
        <v>112</v>
      </c>
      <c r="I143" s="9">
        <f>VLOOKUP($A143,'PW k=4'!$A$2:$D$154,2,0)</f>
        <v>42</v>
      </c>
      <c r="J143" s="9">
        <f>VLOOKUP($A143,'PW k=5'!$A$2:$D$154,2,0)</f>
        <v>14</v>
      </c>
      <c r="L143" s="13">
        <f t="shared" si="1"/>
        <v>-0.002197886199</v>
      </c>
      <c r="N143" s="26" t="s">
        <v>178</v>
      </c>
      <c r="O143" s="13">
        <v>-0.0520874748591217</v>
      </c>
    </row>
    <row r="144">
      <c r="A144" s="26" t="s">
        <v>24</v>
      </c>
      <c r="B144" s="13">
        <f>VLOOKUP($A144,'PW k=2'!$A$2:$D$154,4,0)</f>
        <v>0.01677913399</v>
      </c>
      <c r="C144" s="13">
        <f>VLOOKUP($A144,'PW k=3'!$A$2:$D$154,4,0)</f>
        <v>0.02400804576</v>
      </c>
      <c r="D144" s="13">
        <f>VLOOKUP($A144,'PW k=4'!$A$2:$D$154,4,0)</f>
        <v>-0.03558555509</v>
      </c>
      <c r="E144" s="13">
        <f>VLOOKUP($A144,'PW k=5'!$A$2:$D$154,4,0)</f>
        <v>-0.02761722529</v>
      </c>
      <c r="G144" s="9">
        <f>VLOOKUP($A144,'PW k=2'!$A$2:$D$154,2,0)</f>
        <v>566</v>
      </c>
      <c r="H144" s="9">
        <f>VLOOKUP($A144,'PW k=3'!$A$2:$D$154,2,0)</f>
        <v>258</v>
      </c>
      <c r="I144" s="9">
        <f>VLOOKUP($A144,'PW k=4'!$A$2:$D$154,2,0)</f>
        <v>120</v>
      </c>
      <c r="J144" s="9">
        <f>VLOOKUP($A144,'PW k=5'!$A$2:$D$154,2,0)</f>
        <v>50</v>
      </c>
      <c r="L144" s="13">
        <f t="shared" si="1"/>
        <v>0.01010054102</v>
      </c>
      <c r="N144" s="26" t="s">
        <v>151</v>
      </c>
      <c r="O144" s="13">
        <v>-0.053812675136863955</v>
      </c>
    </row>
    <row r="145">
      <c r="A145" s="26" t="s">
        <v>56</v>
      </c>
      <c r="B145" s="13">
        <f>VLOOKUP($A145,'PW k=2'!$A$2:$D$154,4,0)</f>
        <v>0.01501694168</v>
      </c>
      <c r="C145" s="13">
        <f>VLOOKUP($A145,'PW k=3'!$A$2:$D$154,4,0)</f>
        <v>0.008493718573</v>
      </c>
      <c r="D145" s="13">
        <f>VLOOKUP($A145,'PW k=4'!$A$2:$D$154,4,0)</f>
        <v>-0.03803268644</v>
      </c>
      <c r="E145" s="13">
        <f>VLOOKUP($A145,'PW k=5'!$A$2:$D$154,4,0)</f>
        <v>-0.111322396</v>
      </c>
      <c r="G145" s="9">
        <f>VLOOKUP($A145,'PW k=2'!$A$2:$D$154,2,0)</f>
        <v>393</v>
      </c>
      <c r="H145" s="9">
        <f>VLOOKUP($A145,'PW k=3'!$A$2:$D$154,2,0)</f>
        <v>165</v>
      </c>
      <c r="I145" s="9">
        <f>VLOOKUP($A145,'PW k=4'!$A$2:$D$154,2,0)</f>
        <v>66</v>
      </c>
      <c r="J145" s="9">
        <f>VLOOKUP($A145,'PW k=5'!$A$2:$D$154,2,0)</f>
        <v>23</v>
      </c>
      <c r="L145" s="13">
        <f t="shared" si="1"/>
        <v>0.00345061705</v>
      </c>
      <c r="N145" s="26" t="s">
        <v>185</v>
      </c>
      <c r="O145" s="13">
        <v>-0.054028187228162286</v>
      </c>
    </row>
    <row r="146">
      <c r="A146" s="26" t="s">
        <v>68</v>
      </c>
      <c r="B146" s="13">
        <f>VLOOKUP($A146,'PW k=2'!$A$2:$D$154,4,0)</f>
        <v>0.0009651259801</v>
      </c>
      <c r="C146" s="13">
        <f>VLOOKUP($A146,'PW k=3'!$A$2:$D$154,4,0)</f>
        <v>-0.01054248761</v>
      </c>
      <c r="D146" s="13">
        <f>VLOOKUP($A146,'PW k=4'!$A$2:$D$154,4,0)</f>
        <v>-0.03223682191</v>
      </c>
      <c r="E146" s="13">
        <f>VLOOKUP($A146,'PW k=5'!$A$2:$D$154,4,0)</f>
        <v>0.04370720131</v>
      </c>
      <c r="G146" s="9">
        <f>VLOOKUP($A146,'PW k=2'!$A$2:$D$154,2,0)</f>
        <v>514</v>
      </c>
      <c r="H146" s="9">
        <f>VLOOKUP($A146,'PW k=3'!$A$2:$D$154,2,0)</f>
        <v>233</v>
      </c>
      <c r="I146" s="9">
        <f>VLOOKUP($A146,'PW k=4'!$A$2:$D$154,2,0)</f>
        <v>103</v>
      </c>
      <c r="J146" s="9">
        <f>VLOOKUP($A146,'PW k=5'!$A$2:$D$154,2,0)</f>
        <v>42</v>
      </c>
      <c r="L146" s="13">
        <f t="shared" si="1"/>
        <v>-0.003862124509</v>
      </c>
      <c r="N146" s="26" t="s">
        <v>166</v>
      </c>
      <c r="O146" s="13">
        <v>-0.05566003161804991</v>
      </c>
    </row>
    <row r="147">
      <c r="A147" s="26" t="s">
        <v>87</v>
      </c>
      <c r="B147" s="13">
        <f>VLOOKUP($A147,'PW k=2'!$A$2:$D$154,4,0)</f>
        <v>-0.01780145386</v>
      </c>
      <c r="C147" s="13">
        <f>VLOOKUP($A147,'PW k=3'!$A$2:$D$154,4,0)</f>
        <v>-0.02331801349</v>
      </c>
      <c r="D147" s="13">
        <f>VLOOKUP($A147,'PW k=4'!$A$2:$D$154,4,0)</f>
        <v>-0.04368220277</v>
      </c>
      <c r="E147" s="13">
        <f>VLOOKUP($A147,'PW k=5'!$A$2:$D$154,4,0)</f>
        <v>-0.1271791015</v>
      </c>
      <c r="G147" s="9">
        <f>VLOOKUP($A147,'PW k=2'!$A$2:$D$154,2,0)</f>
        <v>644</v>
      </c>
      <c r="H147" s="9">
        <f>VLOOKUP($A147,'PW k=3'!$A$2:$D$154,2,0)</f>
        <v>302</v>
      </c>
      <c r="I147" s="9">
        <f>VLOOKUP($A147,'PW k=4'!$A$2:$D$154,2,0)</f>
        <v>138</v>
      </c>
      <c r="J147" s="9">
        <f>VLOOKUP($A147,'PW k=5'!$A$2:$D$154,2,0)</f>
        <v>60</v>
      </c>
      <c r="L147" s="13">
        <f t="shared" si="1"/>
        <v>-0.02811631681</v>
      </c>
      <c r="N147" s="26" t="s">
        <v>187</v>
      </c>
      <c r="O147" s="13">
        <v>-0.058088739275565265</v>
      </c>
    </row>
    <row r="148">
      <c r="A148" s="26" t="s">
        <v>122</v>
      </c>
      <c r="B148" s="13">
        <f>VLOOKUP($A148,'PW k=2'!$A$2:$D$154,4,0)</f>
        <v>-0.008176975475</v>
      </c>
      <c r="C148" s="13">
        <f>VLOOKUP($A148,'PW k=3'!$A$2:$D$154,4,0)</f>
        <v>-0.05037873363</v>
      </c>
      <c r="D148" s="13">
        <f>VLOOKUP($A148,'PW k=4'!$A$2:$D$154,4,0)</f>
        <v>-0.04032970003</v>
      </c>
      <c r="E148" s="13">
        <f>VLOOKUP($A148,'PW k=5'!$A$2:$D$154,4,0)</f>
        <v>-0.009218464533</v>
      </c>
      <c r="G148" s="9">
        <f>VLOOKUP($A148,'PW k=2'!$A$2:$D$154,2,0)</f>
        <v>558</v>
      </c>
      <c r="H148" s="9">
        <f>VLOOKUP($A148,'PW k=3'!$A$2:$D$154,2,0)</f>
        <v>240</v>
      </c>
      <c r="I148" s="9">
        <f>VLOOKUP($A148,'PW k=4'!$A$2:$D$154,2,0)</f>
        <v>97</v>
      </c>
      <c r="J148" s="9">
        <f>VLOOKUP($A148,'PW k=5'!$A$2:$D$154,2,0)</f>
        <v>38</v>
      </c>
      <c r="L148" s="13">
        <f t="shared" si="1"/>
        <v>-0.02241793241</v>
      </c>
      <c r="N148" s="26" t="s">
        <v>169</v>
      </c>
      <c r="O148" s="13">
        <v>-0.05888005798858527</v>
      </c>
    </row>
    <row r="149">
      <c r="A149" s="26" t="s">
        <v>54</v>
      </c>
      <c r="B149" s="13">
        <f>VLOOKUP($A149,'PW k=2'!$A$2:$D$154,4,0)</f>
        <v>0.009874222351</v>
      </c>
      <c r="C149" s="13">
        <f>VLOOKUP($A149,'PW k=3'!$A$2:$D$154,4,0)</f>
        <v>0.007562254275</v>
      </c>
      <c r="D149" s="13">
        <f>VLOOKUP($A149,'PW k=4'!$A$2:$D$154,4,0)</f>
        <v>0.001549303869</v>
      </c>
      <c r="E149" s="13">
        <f>VLOOKUP($A149,'PW k=5'!$A$2:$D$154,4,0)</f>
        <v>0.03128638689</v>
      </c>
      <c r="G149" s="9">
        <f>VLOOKUP($A149,'PW k=2'!$A$2:$D$154,2,0)</f>
        <v>572</v>
      </c>
      <c r="H149" s="9">
        <f>VLOOKUP($A149,'PW k=3'!$A$2:$D$154,2,0)</f>
        <v>275</v>
      </c>
      <c r="I149" s="9">
        <f>VLOOKUP($A149,'PW k=4'!$A$2:$D$154,2,0)</f>
        <v>134</v>
      </c>
      <c r="J149" s="9">
        <f>VLOOKUP($A149,'PW k=5'!$A$2:$D$154,2,0)</f>
        <v>62</v>
      </c>
      <c r="L149" s="13">
        <f t="shared" si="1"/>
        <v>0.009467917369</v>
      </c>
      <c r="N149" s="26" t="s">
        <v>188</v>
      </c>
      <c r="O149" s="13">
        <v>-0.05901749606775635</v>
      </c>
    </row>
    <row r="150">
      <c r="A150" s="26" t="s">
        <v>58</v>
      </c>
      <c r="B150" s="13">
        <f>VLOOKUP($A150,'PW k=2'!$A$2:$D$154,4,0)</f>
        <v>0.003179799747</v>
      </c>
      <c r="C150" s="13">
        <f>VLOOKUP($A150,'PW k=3'!$A$2:$D$154,4,0)</f>
        <v>-0.04190245238</v>
      </c>
      <c r="D150" s="13">
        <f>VLOOKUP($A150,'PW k=4'!$A$2:$D$154,4,0)</f>
        <v>-0.02606774841</v>
      </c>
      <c r="E150" s="13">
        <f>VLOOKUP($A150,'PW k=5'!$A$2:$D$154,4,0)</f>
        <v>-0.1773269521</v>
      </c>
      <c r="G150" s="9">
        <f>VLOOKUP($A150,'PW k=2'!$A$2:$D$154,2,0)</f>
        <v>445</v>
      </c>
      <c r="H150" s="9">
        <f>VLOOKUP($A150,'PW k=3'!$A$2:$D$154,2,0)</f>
        <v>194</v>
      </c>
      <c r="I150" s="9">
        <f>VLOOKUP($A150,'PW k=4'!$A$2:$D$154,2,0)</f>
        <v>77</v>
      </c>
      <c r="J150" s="9">
        <f>VLOOKUP($A150,'PW k=5'!$A$2:$D$154,2,0)</f>
        <v>31</v>
      </c>
      <c r="L150" s="13">
        <f t="shared" si="1"/>
        <v>-0.01903402546</v>
      </c>
      <c r="N150" s="26" t="s">
        <v>163</v>
      </c>
      <c r="O150" s="13">
        <v>-0.06212263896821558</v>
      </c>
    </row>
    <row r="151">
      <c r="A151" s="26" t="s">
        <v>111</v>
      </c>
      <c r="B151" s="13">
        <f>VLOOKUP($A151,'PW k=2'!$A$2:$D$154,4,0)</f>
        <v>0.002377792921</v>
      </c>
      <c r="C151" s="13">
        <f>VLOOKUP($A151,'PW k=3'!$A$2:$D$154,4,0)</f>
        <v>-0.04860956929</v>
      </c>
      <c r="D151" s="13">
        <f>VLOOKUP($A151,'PW k=4'!$A$2:$D$154,4,0)</f>
        <v>-0.03713375722</v>
      </c>
      <c r="E151" s="13">
        <f>VLOOKUP($A151,'PW k=5'!$A$2:$D$154,4,0)</f>
        <v>0.1122174763</v>
      </c>
      <c r="G151" s="9">
        <f>VLOOKUP($A151,'PW k=2'!$A$2:$D$154,2,0)</f>
        <v>448</v>
      </c>
      <c r="H151" s="9">
        <f>VLOOKUP($A151,'PW k=3'!$A$2:$D$154,2,0)</f>
        <v>177</v>
      </c>
      <c r="I151" s="9">
        <f>VLOOKUP($A151,'PW k=4'!$A$2:$D$154,2,0)</f>
        <v>58</v>
      </c>
      <c r="J151" s="9">
        <f>VLOOKUP($A151,'PW k=5'!$A$2:$D$154,2,0)</f>
        <v>19</v>
      </c>
      <c r="L151" s="13">
        <f t="shared" si="1"/>
        <v>-0.01076961311</v>
      </c>
      <c r="N151" s="26" t="s">
        <v>92</v>
      </c>
      <c r="O151" s="13">
        <v>-0.06645855853023493</v>
      </c>
    </row>
    <row r="152">
      <c r="A152" s="26" t="s">
        <v>62</v>
      </c>
      <c r="B152" s="13">
        <f>VLOOKUP($A152,'PW k=2'!$A$2:$D$154,4,0)</f>
        <v>0.002206823546</v>
      </c>
      <c r="C152" s="13">
        <f>VLOOKUP($A152,'PW k=3'!$A$2:$D$154,4,0)</f>
        <v>0.00911352001</v>
      </c>
      <c r="D152" s="13">
        <f>VLOOKUP($A152,'PW k=4'!$A$2:$D$154,4,0)</f>
        <v>0.001994257225</v>
      </c>
      <c r="E152" s="13">
        <f>VLOOKUP($A152,'PW k=5'!$A$2:$D$154,4,0)</f>
        <v>0.04549275004</v>
      </c>
      <c r="G152" s="9">
        <f>VLOOKUP($A152,'PW k=2'!$A$2:$D$154,2,0)</f>
        <v>651</v>
      </c>
      <c r="H152" s="9">
        <f>VLOOKUP($A152,'PW k=3'!$A$2:$D$154,2,0)</f>
        <v>290</v>
      </c>
      <c r="I152" s="9">
        <f>VLOOKUP($A152,'PW k=4'!$A$2:$D$154,2,0)</f>
        <v>127</v>
      </c>
      <c r="J152" s="9">
        <f>VLOOKUP($A152,'PW k=5'!$A$2:$D$154,2,0)</f>
        <v>54</v>
      </c>
      <c r="L152" s="13">
        <f t="shared" si="1"/>
        <v>0.006051196169</v>
      </c>
      <c r="N152" s="26" t="s">
        <v>180</v>
      </c>
      <c r="O152" s="13">
        <v>-0.07381027690209997</v>
      </c>
    </row>
    <row r="153">
      <c r="A153" s="26" t="s">
        <v>189</v>
      </c>
      <c r="B153" s="13">
        <f>VLOOKUP($A153,'PW k=2'!$A$2:$D$154,4,0)</f>
        <v>-0.06575655818</v>
      </c>
      <c r="C153" s="13">
        <f>VLOOKUP($A153,'PW k=3'!$A$2:$D$154,4,0)</f>
        <v>-0.06562999791</v>
      </c>
      <c r="D153" s="13">
        <f>VLOOKUP($A153,'PW k=4'!$A$2:$D$154,4,0)</f>
        <v>-0.2045369925</v>
      </c>
      <c r="E153" s="13">
        <f>VLOOKUP($A153,'PW k=5'!$A$2:$D$154,4,0)</f>
        <v>-0.2947984509</v>
      </c>
      <c r="G153" s="9">
        <f>VLOOKUP($A153,'PW k=2'!$A$2:$D$154,2,0)</f>
        <v>331</v>
      </c>
      <c r="H153" s="9">
        <f>VLOOKUP($A153,'PW k=3'!$A$2:$D$154,2,0)</f>
        <v>111</v>
      </c>
      <c r="I153" s="9">
        <f>VLOOKUP($A153,'PW k=4'!$A$2:$D$154,2,0)</f>
        <v>37</v>
      </c>
      <c r="J153" s="9">
        <f>VLOOKUP($A153,'PW k=5'!$A$2:$D$154,2,0)</f>
        <v>7</v>
      </c>
      <c r="L153" s="13">
        <f t="shared" si="1"/>
        <v>-0.07959219836</v>
      </c>
      <c r="N153" s="26" t="s">
        <v>182</v>
      </c>
      <c r="O153" s="13">
        <v>-0.07895617099293568</v>
      </c>
    </row>
    <row r="154">
      <c r="A154" s="26" t="s">
        <v>184</v>
      </c>
      <c r="B154" s="13">
        <f>VLOOKUP($A154,'PW k=2'!$A$2:$D$154,4,0)</f>
        <v>-0.05915027633</v>
      </c>
      <c r="C154" s="13">
        <f>VLOOKUP($A154,'PW k=3'!$A$2:$D$154,4,0)</f>
        <v>-0.005630164973</v>
      </c>
      <c r="D154" s="13">
        <f>VLOOKUP($A154,'PW k=4'!$A$2:$D$154,4,0)</f>
        <v>0.03813167842</v>
      </c>
      <c r="E154" s="13">
        <f>VLOOKUP($A154,'PW k=5'!$A$2:$D$154,4,0)</f>
        <v>0.00605591928</v>
      </c>
      <c r="G154" s="9">
        <f>VLOOKUP($A154,'PW k=2'!$A$2:$D$154,2,0)</f>
        <v>343</v>
      </c>
      <c r="H154" s="9">
        <f>VLOOKUP($A154,'PW k=3'!$A$2:$D$154,2,0)</f>
        <v>126</v>
      </c>
      <c r="I154" s="9">
        <f>VLOOKUP($A154,'PW k=4'!$A$2:$D$154,2,0)</f>
        <v>53</v>
      </c>
      <c r="J154" s="9">
        <f>VLOOKUP($A154,'PW k=5'!$A$2:$D$154,2,0)</f>
        <v>23</v>
      </c>
      <c r="L154" s="13">
        <f t="shared" si="1"/>
        <v>-0.03456455132</v>
      </c>
      <c r="N154" s="26" t="s">
        <v>189</v>
      </c>
      <c r="O154" s="13">
        <v>-0.079592198364362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3" max="3" width="14.13"/>
  </cols>
  <sheetData>
    <row r="1">
      <c r="A1" s="27" t="s">
        <v>0</v>
      </c>
      <c r="B1" s="27" t="s">
        <v>209</v>
      </c>
      <c r="C1" s="27" t="s">
        <v>210</v>
      </c>
      <c r="D1" s="27" t="s">
        <v>211</v>
      </c>
      <c r="E1" s="27" t="s">
        <v>212</v>
      </c>
    </row>
    <row r="2">
      <c r="A2" s="26" t="s">
        <v>133</v>
      </c>
      <c r="B2" s="26">
        <v>654.0</v>
      </c>
      <c r="C2" s="35">
        <v>0.00712348541556031</v>
      </c>
      <c r="D2" s="36">
        <v>-0.0175151400939298</v>
      </c>
      <c r="E2" s="36">
        <v>6.69006746076889E-10</v>
      </c>
    </row>
    <row r="3">
      <c r="A3" s="26" t="s">
        <v>171</v>
      </c>
      <c r="B3" s="26">
        <v>306.0</v>
      </c>
      <c r="C3" s="36">
        <v>0.0136652577890677</v>
      </c>
      <c r="D3" s="36">
        <v>-0.0101735710036668</v>
      </c>
      <c r="E3" s="36">
        <v>0.00785001242768262</v>
      </c>
    </row>
    <row r="4">
      <c r="A4" s="26" t="s">
        <v>30</v>
      </c>
      <c r="B4" s="26">
        <v>677.0</v>
      </c>
      <c r="C4" s="36">
        <v>0.0500126086729693</v>
      </c>
      <c r="D4" s="36">
        <v>0.0228346899467239</v>
      </c>
      <c r="E4" s="36">
        <v>1.39304445753007E-16</v>
      </c>
    </row>
    <row r="5">
      <c r="A5" s="26" t="s">
        <v>69</v>
      </c>
      <c r="B5" s="26">
        <v>458.0</v>
      </c>
      <c r="C5" s="36">
        <v>0.0121220362499223</v>
      </c>
      <c r="D5" s="36">
        <v>-0.0155056780807253</v>
      </c>
      <c r="E5" s="36">
        <v>3.04774507633928E-6</v>
      </c>
    </row>
    <row r="6">
      <c r="A6" s="26" t="s">
        <v>186</v>
      </c>
      <c r="B6" s="26">
        <v>395.0</v>
      </c>
      <c r="C6" s="36">
        <v>-0.0305556669583927</v>
      </c>
      <c r="D6" s="36">
        <v>-0.0478660987341829</v>
      </c>
      <c r="E6" s="36">
        <v>1.62007228250769E-29</v>
      </c>
    </row>
    <row r="7">
      <c r="A7" s="26" t="s">
        <v>174</v>
      </c>
      <c r="B7" s="26">
        <v>478.0</v>
      </c>
      <c r="C7" s="36">
        <v>-0.0323553727794766</v>
      </c>
      <c r="D7" s="36">
        <v>-0.0438345520749345</v>
      </c>
      <c r="E7" s="36">
        <v>1.97476585572521E-27</v>
      </c>
    </row>
    <row r="8">
      <c r="A8" s="26" t="s">
        <v>159</v>
      </c>
      <c r="B8" s="26">
        <v>339.0</v>
      </c>
      <c r="C8" s="36">
        <v>0.00746872834374868</v>
      </c>
      <c r="D8" s="36">
        <v>-0.00960872361021793</v>
      </c>
      <c r="E8" s="36">
        <v>0.0153019976621254</v>
      </c>
    </row>
    <row r="9">
      <c r="A9" s="26" t="s">
        <v>126</v>
      </c>
      <c r="B9" s="26">
        <v>618.0</v>
      </c>
      <c r="C9" s="36">
        <v>0.0168901599436781</v>
      </c>
      <c r="D9" s="36">
        <v>-0.00642647642852272</v>
      </c>
      <c r="E9" s="36">
        <v>0.0272662647754784</v>
      </c>
    </row>
    <row r="10">
      <c r="A10" s="26" t="s">
        <v>112</v>
      </c>
      <c r="B10" s="26">
        <v>313.0</v>
      </c>
      <c r="C10" s="36">
        <v>-0.0265379439144599</v>
      </c>
      <c r="D10" s="36">
        <v>-0.0215348924416976</v>
      </c>
      <c r="E10" s="36">
        <v>1.37773827361746E-7</v>
      </c>
    </row>
    <row r="11">
      <c r="A11" s="26" t="s">
        <v>185</v>
      </c>
      <c r="B11" s="26">
        <v>671.0</v>
      </c>
      <c r="C11" s="36">
        <v>-0.0146706139403012</v>
      </c>
      <c r="D11" s="36">
        <v>-0.0420501673434902</v>
      </c>
      <c r="E11" s="36">
        <v>2.54595123177995E-32</v>
      </c>
    </row>
    <row r="12">
      <c r="A12" s="26" t="s">
        <v>170</v>
      </c>
      <c r="B12" s="26">
        <v>491.0</v>
      </c>
      <c r="C12" s="36">
        <v>-0.00305203127310042</v>
      </c>
      <c r="D12" s="36">
        <v>-0.0265786824877796</v>
      </c>
      <c r="E12" s="36">
        <v>7.69163202207642E-15</v>
      </c>
    </row>
    <row r="13">
      <c r="A13" s="26" t="s">
        <v>173</v>
      </c>
      <c r="B13" s="26">
        <v>677.0</v>
      </c>
      <c r="C13" s="36">
        <v>0.0113200961913287</v>
      </c>
      <c r="D13" s="36">
        <v>-0.0208875351518738</v>
      </c>
      <c r="E13" s="36">
        <v>9.88827997408287E-13</v>
      </c>
    </row>
    <row r="14">
      <c r="A14" s="26" t="s">
        <v>107</v>
      </c>
      <c r="B14" s="26">
        <v>630.0</v>
      </c>
      <c r="C14" s="36">
        <v>0.00407920339682278</v>
      </c>
      <c r="D14" s="36">
        <v>-0.0253438199311257</v>
      </c>
      <c r="E14" s="36">
        <v>7.51088933387537E-18</v>
      </c>
    </row>
    <row r="15">
      <c r="A15" s="26" t="s">
        <v>139</v>
      </c>
      <c r="B15" s="26">
        <v>580.0</v>
      </c>
      <c r="C15" s="36">
        <v>0.033546430034126</v>
      </c>
      <c r="D15" s="36">
        <v>-0.00998306358771347</v>
      </c>
      <c r="E15" s="36">
        <v>6.21243456441407E-4</v>
      </c>
    </row>
    <row r="16">
      <c r="A16" s="26" t="s">
        <v>64</v>
      </c>
      <c r="B16" s="26">
        <v>653.0</v>
      </c>
      <c r="C16" s="36">
        <v>-0.00545536308434022</v>
      </c>
      <c r="D16" s="36">
        <v>-0.0261355051124177</v>
      </c>
      <c r="E16" s="36">
        <v>7.27158202531118E-19</v>
      </c>
    </row>
    <row r="17">
      <c r="A17" s="26" t="s">
        <v>100</v>
      </c>
      <c r="B17" s="26">
        <v>646.0</v>
      </c>
      <c r="C17" s="36">
        <v>0.0171047214127273</v>
      </c>
      <c r="D17" s="36">
        <v>0.00152742326609801</v>
      </c>
      <c r="E17" s="36">
        <v>0.526005806188786</v>
      </c>
    </row>
    <row r="18">
      <c r="A18" s="26" t="s">
        <v>124</v>
      </c>
      <c r="B18" s="26">
        <v>545.0</v>
      </c>
      <c r="C18" s="36">
        <v>-0.00873564242865555</v>
      </c>
      <c r="D18" s="36">
        <v>-0.0226614778401385</v>
      </c>
      <c r="E18" s="36">
        <v>6.0877192242763E-11</v>
      </c>
    </row>
    <row r="19">
      <c r="A19" s="26" t="s">
        <v>145</v>
      </c>
      <c r="B19" s="26">
        <v>575.0</v>
      </c>
      <c r="C19" s="36">
        <v>0.0117416310246829</v>
      </c>
      <c r="D19" s="36">
        <v>-0.0169903555194768</v>
      </c>
      <c r="E19" s="36">
        <v>5.28777604276144E-9</v>
      </c>
    </row>
    <row r="20">
      <c r="A20" s="26" t="s">
        <v>80</v>
      </c>
      <c r="B20" s="26">
        <v>427.0</v>
      </c>
      <c r="C20" s="36">
        <v>-0.00604980457813755</v>
      </c>
      <c r="D20" s="36">
        <v>-0.00963977126090273</v>
      </c>
      <c r="E20" s="36">
        <v>0.0037018874501406</v>
      </c>
    </row>
    <row r="21">
      <c r="A21" s="26" t="s">
        <v>118</v>
      </c>
      <c r="B21" s="26">
        <v>720.0</v>
      </c>
      <c r="C21" s="36">
        <v>-0.0040963433357397</v>
      </c>
      <c r="D21" s="36">
        <v>-0.00681843984509161</v>
      </c>
      <c r="E21" s="36">
        <v>0.00126658482987036</v>
      </c>
    </row>
    <row r="22">
      <c r="A22" s="26" t="s">
        <v>75</v>
      </c>
      <c r="B22" s="26">
        <v>422.0</v>
      </c>
      <c r="C22" s="36">
        <v>-0.0156441418473802</v>
      </c>
      <c r="D22" s="36">
        <v>1.24557299541692E-4</v>
      </c>
      <c r="E22" s="36">
        <v>0.968724282338239</v>
      </c>
    </row>
    <row r="23">
      <c r="A23" s="26" t="s">
        <v>74</v>
      </c>
      <c r="B23" s="26">
        <v>306.0</v>
      </c>
      <c r="C23" s="36">
        <v>-0.0307654775241228</v>
      </c>
      <c r="D23" s="36">
        <v>-0.0547545851620141</v>
      </c>
      <c r="E23" s="36">
        <v>3.44698773354344E-29</v>
      </c>
    </row>
    <row r="24">
      <c r="A24" s="26" t="s">
        <v>140</v>
      </c>
      <c r="B24" s="26">
        <v>409.0</v>
      </c>
      <c r="C24" s="36">
        <v>-0.0131619177297182</v>
      </c>
      <c r="D24" s="36">
        <v>-0.0274773538258652</v>
      </c>
      <c r="E24" s="36">
        <v>1.27061248905938E-13</v>
      </c>
    </row>
    <row r="25">
      <c r="A25" s="26" t="s">
        <v>147</v>
      </c>
      <c r="B25" s="26">
        <v>244.0</v>
      </c>
      <c r="C25" s="36">
        <v>-0.0133279538058396</v>
      </c>
      <c r="D25" s="36">
        <v>-0.0325437810681892</v>
      </c>
      <c r="E25" s="36">
        <v>1.90532731628312E-15</v>
      </c>
    </row>
    <row r="26">
      <c r="A26" s="26" t="s">
        <v>130</v>
      </c>
      <c r="B26" s="26">
        <v>488.0</v>
      </c>
      <c r="C26" s="36">
        <v>0.0201944066059837</v>
      </c>
      <c r="D26" s="36">
        <v>-0.0189850551928759</v>
      </c>
      <c r="E26" s="36">
        <v>5.31640009774946E-11</v>
      </c>
    </row>
    <row r="27">
      <c r="A27" s="26" t="s">
        <v>163</v>
      </c>
      <c r="B27" s="26">
        <v>365.0</v>
      </c>
      <c r="C27" s="36">
        <v>-0.0655802282790071</v>
      </c>
      <c r="D27" s="36">
        <v>-0.0507141349666807</v>
      </c>
      <c r="E27" s="36">
        <v>9.72674507024553E-30</v>
      </c>
    </row>
    <row r="28">
      <c r="A28" s="26" t="s">
        <v>109</v>
      </c>
      <c r="B28" s="26">
        <v>531.0</v>
      </c>
      <c r="C28" s="36">
        <v>0.0218376380792817</v>
      </c>
      <c r="D28" s="36">
        <v>-0.00979569528654231</v>
      </c>
      <c r="E28" s="36">
        <v>7.52679706476426E-4</v>
      </c>
    </row>
    <row r="29">
      <c r="A29" s="26" t="s">
        <v>127</v>
      </c>
      <c r="B29" s="26">
        <v>498.0</v>
      </c>
      <c r="C29" s="36">
        <v>-0.0045938550115565</v>
      </c>
      <c r="D29" s="36">
        <v>-0.0257491802879222</v>
      </c>
      <c r="E29" s="36">
        <v>8.51559025931585E-18</v>
      </c>
    </row>
    <row r="30">
      <c r="A30" s="26" t="s">
        <v>160</v>
      </c>
      <c r="B30" s="26">
        <v>385.0</v>
      </c>
      <c r="C30" s="36">
        <v>-0.0213645492072969</v>
      </c>
      <c r="D30" s="36">
        <v>-0.0229590986305982</v>
      </c>
      <c r="E30" s="36">
        <v>5.53638589127502E-10</v>
      </c>
    </row>
    <row r="31">
      <c r="A31" s="26" t="s">
        <v>154</v>
      </c>
      <c r="B31" s="26">
        <v>373.0</v>
      </c>
      <c r="C31" s="36">
        <v>0.00209366417373533</v>
      </c>
      <c r="D31" s="36">
        <v>-0.0284017656288507</v>
      </c>
      <c r="E31" s="36">
        <v>6.19671580054143E-16</v>
      </c>
    </row>
    <row r="32">
      <c r="A32" s="26" t="s">
        <v>105</v>
      </c>
      <c r="B32" s="26">
        <v>460.0</v>
      </c>
      <c r="C32" s="36">
        <v>-5.94061485870575E-4</v>
      </c>
      <c r="D32" s="36">
        <v>-0.0121857824049548</v>
      </c>
      <c r="E32" s="36">
        <v>2.50204114627594E-5</v>
      </c>
    </row>
    <row r="33">
      <c r="A33" s="26" t="s">
        <v>138</v>
      </c>
      <c r="B33" s="26">
        <v>575.0</v>
      </c>
      <c r="C33" s="36">
        <v>0.0139740293565648</v>
      </c>
      <c r="D33" s="36">
        <v>-0.0154101690527541</v>
      </c>
      <c r="E33" s="36">
        <v>1.65205239155491E-7</v>
      </c>
    </row>
    <row r="34">
      <c r="A34" s="26" t="s">
        <v>77</v>
      </c>
      <c r="B34" s="26">
        <v>502.0</v>
      </c>
      <c r="C34" s="36">
        <v>0.0291578494539341</v>
      </c>
      <c r="D34" s="36">
        <v>0.0067827303327752</v>
      </c>
      <c r="E34" s="36">
        <v>0.0161064871253926</v>
      </c>
    </row>
    <row r="35">
      <c r="A35" s="26" t="s">
        <v>48</v>
      </c>
      <c r="B35" s="26">
        <v>449.0</v>
      </c>
      <c r="C35" s="36">
        <v>0.0339898379894878</v>
      </c>
      <c r="D35" s="36">
        <v>0.0224442313082446</v>
      </c>
      <c r="E35" s="36">
        <v>1.02869916456676E-8</v>
      </c>
    </row>
    <row r="36">
      <c r="A36" s="26" t="s">
        <v>108</v>
      </c>
      <c r="B36" s="26">
        <v>572.0</v>
      </c>
      <c r="C36" s="36">
        <v>3.59984890798402E-4</v>
      </c>
      <c r="D36" s="36">
        <v>-0.0063063390686122</v>
      </c>
      <c r="E36" s="36">
        <v>0.0170084006857745</v>
      </c>
    </row>
    <row r="37">
      <c r="A37" s="26" t="s">
        <v>187</v>
      </c>
      <c r="B37" s="26">
        <v>360.0</v>
      </c>
      <c r="C37" s="36">
        <v>-0.0625700974003922</v>
      </c>
      <c r="D37" s="36">
        <v>-0.0577801487720306</v>
      </c>
      <c r="E37" s="36">
        <v>3.19740234640778E-36</v>
      </c>
    </row>
    <row r="38">
      <c r="A38" s="26" t="s">
        <v>96</v>
      </c>
      <c r="B38" s="26">
        <v>406.0</v>
      </c>
      <c r="C38" s="36">
        <v>0.00802579655495046</v>
      </c>
      <c r="D38" s="36">
        <v>-0.0118707036953282</v>
      </c>
      <c r="E38" s="36">
        <v>2.32665207749879E-4</v>
      </c>
    </row>
    <row r="39">
      <c r="A39" s="26" t="s">
        <v>137</v>
      </c>
      <c r="B39" s="26">
        <v>409.0</v>
      </c>
      <c r="C39" s="36">
        <v>0.0017973628453584</v>
      </c>
      <c r="D39" s="36">
        <v>-0.0291210961063926</v>
      </c>
      <c r="E39" s="36">
        <v>2.17360342920945E-19</v>
      </c>
    </row>
    <row r="40">
      <c r="A40" s="26" t="s">
        <v>119</v>
      </c>
      <c r="B40" s="26">
        <v>783.0</v>
      </c>
      <c r="C40" s="36">
        <v>-0.00104939567838485</v>
      </c>
      <c r="D40" s="36">
        <v>-0.01071617984007</v>
      </c>
      <c r="E40" s="36">
        <v>1.8812878065311E-6</v>
      </c>
    </row>
    <row r="41">
      <c r="A41" s="26" t="s">
        <v>125</v>
      </c>
      <c r="B41" s="26">
        <v>410.0</v>
      </c>
      <c r="C41" s="36">
        <v>0.0181569648867069</v>
      </c>
      <c r="D41" s="36">
        <v>-0.0281751126497524</v>
      </c>
      <c r="E41" s="36">
        <v>2.24522399133796E-14</v>
      </c>
    </row>
    <row r="42">
      <c r="A42" s="26" t="s">
        <v>183</v>
      </c>
      <c r="B42" s="26">
        <v>285.0</v>
      </c>
      <c r="C42" s="36">
        <v>0.00239199341185158</v>
      </c>
      <c r="D42" s="36">
        <v>-0.0244857400877444</v>
      </c>
      <c r="E42" s="36">
        <v>1.85008007303429E-9</v>
      </c>
    </row>
    <row r="43">
      <c r="A43" s="26" t="s">
        <v>129</v>
      </c>
      <c r="B43" s="26">
        <v>335.0</v>
      </c>
      <c r="C43" s="36">
        <v>0.0304215349434417</v>
      </c>
      <c r="D43" s="36">
        <v>-0.00711482173520775</v>
      </c>
      <c r="E43" s="36">
        <v>0.0533751404413871</v>
      </c>
    </row>
    <row r="44">
      <c r="A44" s="26" t="s">
        <v>179</v>
      </c>
      <c r="B44" s="26">
        <v>571.0</v>
      </c>
      <c r="C44" s="36">
        <v>-0.0191283753498933</v>
      </c>
      <c r="D44" s="36">
        <v>-0.033608203856484</v>
      </c>
      <c r="E44" s="36">
        <v>3.5576065122659E-23</v>
      </c>
    </row>
    <row r="45">
      <c r="A45" s="26" t="s">
        <v>26</v>
      </c>
      <c r="B45" s="26">
        <v>333.0</v>
      </c>
      <c r="C45" s="36">
        <v>0.0219975465815196</v>
      </c>
      <c r="D45" s="36">
        <v>-0.00625590480243543</v>
      </c>
      <c r="E45" s="36">
        <v>0.079829727112763</v>
      </c>
    </row>
    <row r="46">
      <c r="A46" s="26" t="s">
        <v>176</v>
      </c>
      <c r="B46" s="26">
        <v>595.0</v>
      </c>
      <c r="C46" s="36">
        <v>-0.00540273436327669</v>
      </c>
      <c r="D46" s="36">
        <v>-0.028646550547047</v>
      </c>
      <c r="E46" s="36">
        <v>7.53736818209556E-22</v>
      </c>
    </row>
    <row r="47">
      <c r="A47" s="26" t="s">
        <v>164</v>
      </c>
      <c r="B47" s="26">
        <v>599.0</v>
      </c>
      <c r="C47" s="36">
        <v>-0.011882455932603</v>
      </c>
      <c r="D47" s="36">
        <v>-0.0354677875641258</v>
      </c>
      <c r="E47" s="36">
        <v>5.69114034937643E-24</v>
      </c>
    </row>
    <row r="48">
      <c r="A48" s="26" t="s">
        <v>168</v>
      </c>
      <c r="B48" s="26">
        <v>573.0</v>
      </c>
      <c r="C48" s="36">
        <v>4.05381860962968E-4</v>
      </c>
      <c r="D48" s="36">
        <v>-0.0388699101780585</v>
      </c>
      <c r="E48" s="36">
        <v>1.16803668739249E-29</v>
      </c>
    </row>
    <row r="49">
      <c r="A49" s="26" t="s">
        <v>72</v>
      </c>
      <c r="B49" s="26">
        <v>650.0</v>
      </c>
      <c r="C49" s="36">
        <v>0.0553973567408533</v>
      </c>
      <c r="D49" s="36">
        <v>0.002546633476315</v>
      </c>
      <c r="E49" s="36">
        <v>0.320605951502342</v>
      </c>
    </row>
    <row r="50">
      <c r="A50" s="26" t="s">
        <v>60</v>
      </c>
      <c r="B50" s="26">
        <v>634.0</v>
      </c>
      <c r="C50" s="36">
        <v>0.0354493798387706</v>
      </c>
      <c r="D50" s="36">
        <v>0.00702790598674972</v>
      </c>
      <c r="E50" s="36">
        <v>0.00537535724081804</v>
      </c>
    </row>
    <row r="51">
      <c r="A51" s="26" t="s">
        <v>84</v>
      </c>
      <c r="B51" s="26">
        <v>592.0</v>
      </c>
      <c r="C51" s="36">
        <v>0.0543867843022475</v>
      </c>
      <c r="D51" s="36">
        <v>0.00518331321303771</v>
      </c>
      <c r="E51" s="36">
        <v>0.035297728420317</v>
      </c>
    </row>
    <row r="52">
      <c r="A52" s="26" t="s">
        <v>42</v>
      </c>
      <c r="B52" s="26">
        <v>419.0</v>
      </c>
      <c r="C52" s="36">
        <v>0.0252791308595453</v>
      </c>
      <c r="D52" s="36">
        <v>0.0144748470254583</v>
      </c>
      <c r="E52" s="36">
        <v>1.930066009939E-5</v>
      </c>
    </row>
    <row r="53">
      <c r="A53" s="26" t="s">
        <v>150</v>
      </c>
      <c r="B53" s="26">
        <v>297.0</v>
      </c>
      <c r="C53" s="36">
        <v>-0.0028076186834242</v>
      </c>
      <c r="D53" s="36">
        <v>-0.0239878588972952</v>
      </c>
      <c r="E53" s="36">
        <v>3.26187961814244E-10</v>
      </c>
    </row>
    <row r="54">
      <c r="A54" s="26" t="s">
        <v>83</v>
      </c>
      <c r="B54" s="26">
        <v>432.0</v>
      </c>
      <c r="C54" s="36">
        <v>0.0493585047809913</v>
      </c>
      <c r="D54" s="36">
        <v>0.0123035554309571</v>
      </c>
      <c r="E54" s="36">
        <v>2.43209904526325E-4</v>
      </c>
    </row>
    <row r="55">
      <c r="A55" s="26" t="s">
        <v>94</v>
      </c>
      <c r="B55" s="26">
        <v>289.0</v>
      </c>
      <c r="C55" s="36">
        <v>0.00795439233593343</v>
      </c>
      <c r="D55" s="36">
        <v>-0.0126627165029248</v>
      </c>
      <c r="E55" s="36">
        <v>3.22570641835181E-4</v>
      </c>
    </row>
    <row r="56">
      <c r="A56" s="26" t="s">
        <v>106</v>
      </c>
      <c r="B56" s="26">
        <v>542.0</v>
      </c>
      <c r="C56" s="36">
        <v>0.00781343828909676</v>
      </c>
      <c r="D56" s="36">
        <v>-0.0179270001694439</v>
      </c>
      <c r="E56" s="36">
        <v>4.51023691355959E-12</v>
      </c>
    </row>
    <row r="57">
      <c r="A57" s="26" t="s">
        <v>135</v>
      </c>
      <c r="B57" s="26">
        <v>547.0</v>
      </c>
      <c r="C57" s="36">
        <v>-0.0212706574084899</v>
      </c>
      <c r="D57" s="36">
        <v>-0.0239455613054966</v>
      </c>
      <c r="E57" s="36">
        <v>2.62040736677287E-13</v>
      </c>
    </row>
    <row r="58">
      <c r="A58" s="26" t="s">
        <v>181</v>
      </c>
      <c r="B58" s="26">
        <v>820.0</v>
      </c>
      <c r="C58" s="36">
        <v>-0.012097710922548</v>
      </c>
      <c r="D58" s="36">
        <v>-0.0449926353970193</v>
      </c>
      <c r="E58" s="36">
        <v>1.89623045080618E-37</v>
      </c>
    </row>
    <row r="59">
      <c r="A59" s="26" t="s">
        <v>114</v>
      </c>
      <c r="B59" s="26">
        <v>683.0</v>
      </c>
      <c r="C59" s="36">
        <v>-0.0133395535663323</v>
      </c>
      <c r="D59" s="36">
        <v>-0.0185623366738337</v>
      </c>
      <c r="E59" s="36">
        <v>6.68552797726851E-13</v>
      </c>
    </row>
    <row r="60">
      <c r="A60" s="26" t="s">
        <v>152</v>
      </c>
      <c r="B60" s="26">
        <v>367.0</v>
      </c>
      <c r="C60" s="36">
        <v>0.003112144269182</v>
      </c>
      <c r="D60" s="36">
        <v>-0.0274430020087026</v>
      </c>
      <c r="E60" s="36">
        <v>8.81239174082317E-13</v>
      </c>
    </row>
    <row r="61">
      <c r="A61" s="26" t="s">
        <v>180</v>
      </c>
      <c r="B61" s="26">
        <v>289.0</v>
      </c>
      <c r="C61" s="36">
        <v>-0.0578371844665123</v>
      </c>
      <c r="D61" s="36">
        <v>-0.0645211448996207</v>
      </c>
      <c r="E61" s="36">
        <v>1.16409685836794E-31</v>
      </c>
    </row>
    <row r="62">
      <c r="A62" s="26" t="s">
        <v>149</v>
      </c>
      <c r="B62" s="26">
        <v>444.0</v>
      </c>
      <c r="C62" s="36">
        <v>-0.0059523903932245</v>
      </c>
      <c r="D62" s="36">
        <v>-0.0161930486471424</v>
      </c>
      <c r="E62" s="36">
        <v>1.68893064259328E-7</v>
      </c>
    </row>
    <row r="63">
      <c r="A63" s="26" t="s">
        <v>14</v>
      </c>
      <c r="B63" s="26">
        <v>418.0</v>
      </c>
      <c r="C63" s="36">
        <v>0.0530452904535639</v>
      </c>
      <c r="D63" s="36">
        <v>0.0343051090885536</v>
      </c>
      <c r="E63" s="36">
        <v>3.35579111534178E-19</v>
      </c>
    </row>
    <row r="64">
      <c r="A64" s="26" t="s">
        <v>104</v>
      </c>
      <c r="B64" s="26">
        <v>537.0</v>
      </c>
      <c r="C64" s="36">
        <v>-0.00319526343981977</v>
      </c>
      <c r="D64" s="36">
        <v>-0.00424996249619751</v>
      </c>
      <c r="E64" s="36">
        <v>0.136161002934021</v>
      </c>
    </row>
    <row r="65">
      <c r="A65" s="26" t="s">
        <v>103</v>
      </c>
      <c r="B65" s="26">
        <v>387.0</v>
      </c>
      <c r="C65" s="36">
        <v>-0.0171898672904562</v>
      </c>
      <c r="D65" s="36">
        <v>-0.0404934623623409</v>
      </c>
      <c r="E65" s="36">
        <v>7.70294790086464E-22</v>
      </c>
    </row>
    <row r="66">
      <c r="A66" s="26" t="s">
        <v>78</v>
      </c>
      <c r="B66" s="26">
        <v>536.0</v>
      </c>
      <c r="C66" s="36">
        <v>0.00963684673475162</v>
      </c>
      <c r="D66" s="36">
        <v>0.00305593112412595</v>
      </c>
      <c r="E66" s="36">
        <v>0.258616649235373</v>
      </c>
    </row>
    <row r="67">
      <c r="A67" s="26" t="s">
        <v>32</v>
      </c>
      <c r="B67" s="26">
        <v>379.0</v>
      </c>
      <c r="C67" s="36">
        <v>0.0202950843238179</v>
      </c>
      <c r="D67" s="36">
        <v>0.00500516874021283</v>
      </c>
      <c r="E67" s="36">
        <v>0.124450560636593</v>
      </c>
    </row>
    <row r="68">
      <c r="A68" s="26" t="s">
        <v>86</v>
      </c>
      <c r="B68" s="26">
        <v>422.0</v>
      </c>
      <c r="C68" s="36">
        <v>0.0126250140726716</v>
      </c>
      <c r="D68" s="36">
        <v>-8.67105370132258E-4</v>
      </c>
      <c r="E68" s="36">
        <v>0.76168967966627</v>
      </c>
    </row>
    <row r="69">
      <c r="A69" s="26" t="s">
        <v>121</v>
      </c>
      <c r="B69" s="26">
        <v>325.0</v>
      </c>
      <c r="C69" s="36">
        <v>-0.0019051091954185</v>
      </c>
      <c r="D69" s="36">
        <v>-0.0387302964739574</v>
      </c>
      <c r="E69" s="36">
        <v>4.59084728105324E-20</v>
      </c>
    </row>
    <row r="70">
      <c r="A70" s="26" t="s">
        <v>102</v>
      </c>
      <c r="B70" s="26">
        <v>371.0</v>
      </c>
      <c r="C70" s="36">
        <v>0.0237546274886791</v>
      </c>
      <c r="D70" s="36">
        <v>-0.00228786111586385</v>
      </c>
      <c r="E70" s="36">
        <v>0.488353308793786</v>
      </c>
    </row>
    <row r="71">
      <c r="A71" s="26" t="s">
        <v>52</v>
      </c>
      <c r="B71" s="26">
        <v>428.0</v>
      </c>
      <c r="C71" s="36">
        <v>0.0279462470492006</v>
      </c>
      <c r="D71" s="36">
        <v>0.0045266342389412</v>
      </c>
      <c r="E71" s="36">
        <v>0.172835258708055</v>
      </c>
    </row>
    <row r="72">
      <c r="A72" s="26" t="s">
        <v>134</v>
      </c>
      <c r="B72" s="26">
        <v>485.0</v>
      </c>
      <c r="C72" s="36">
        <v>-0.0237704889381272</v>
      </c>
      <c r="D72" s="36">
        <v>-0.0383599864465124</v>
      </c>
      <c r="E72" s="36">
        <v>3.79291986433517E-23</v>
      </c>
    </row>
    <row r="73">
      <c r="A73" s="26" t="s">
        <v>172</v>
      </c>
      <c r="B73" s="26">
        <v>501.0</v>
      </c>
      <c r="C73" s="36">
        <v>-0.00707472797752843</v>
      </c>
      <c r="D73" s="36">
        <v>-0.0139354768351004</v>
      </c>
      <c r="E73" s="36">
        <v>8.10129884777875E-7</v>
      </c>
    </row>
    <row r="74">
      <c r="A74" s="26" t="s">
        <v>155</v>
      </c>
      <c r="B74" s="26">
        <v>487.0</v>
      </c>
      <c r="C74" s="36">
        <v>0.0143459807711568</v>
      </c>
      <c r="D74" s="36">
        <v>-0.0176461759035575</v>
      </c>
      <c r="E74" s="36">
        <v>1.5378695024435E-8</v>
      </c>
    </row>
    <row r="75">
      <c r="A75" s="26" t="s">
        <v>38</v>
      </c>
      <c r="B75" s="26">
        <v>343.0</v>
      </c>
      <c r="C75" s="36">
        <v>0.0378238280868197</v>
      </c>
      <c r="D75" s="36">
        <v>0.0285340818427374</v>
      </c>
      <c r="E75" s="36">
        <v>3.8063360757295E-12</v>
      </c>
    </row>
    <row r="76">
      <c r="A76" s="26" t="s">
        <v>141</v>
      </c>
      <c r="B76" s="26">
        <v>359.0</v>
      </c>
      <c r="C76" s="36">
        <v>-0.0120634824305277</v>
      </c>
      <c r="D76" s="36">
        <v>-0.0282376791908301</v>
      </c>
      <c r="E76" s="36">
        <v>8.89650442953777E-13</v>
      </c>
    </row>
    <row r="77">
      <c r="A77" s="26" t="s">
        <v>85</v>
      </c>
      <c r="B77" s="26">
        <v>699.0</v>
      </c>
      <c r="C77" s="36">
        <v>0.0249763002600902</v>
      </c>
      <c r="D77" s="36">
        <v>0.0048594841382772</v>
      </c>
      <c r="E77" s="36">
        <v>0.046993382288189</v>
      </c>
    </row>
    <row r="78">
      <c r="A78" s="26" t="s">
        <v>90</v>
      </c>
      <c r="B78" s="26">
        <v>274.0</v>
      </c>
      <c r="C78" s="36">
        <v>0.00628760206762398</v>
      </c>
      <c r="D78" s="36">
        <v>-0.0118733601396052</v>
      </c>
      <c r="E78" s="36">
        <v>0.00347682108559589</v>
      </c>
    </row>
    <row r="79">
      <c r="A79" s="26" t="s">
        <v>98</v>
      </c>
      <c r="B79" s="26">
        <v>465.0</v>
      </c>
      <c r="C79" s="36">
        <v>0.00776077120301936</v>
      </c>
      <c r="D79" s="36">
        <v>-0.0187393640919935</v>
      </c>
      <c r="E79" s="36">
        <v>1.91536161586057E-9</v>
      </c>
    </row>
    <row r="80">
      <c r="A80" s="26" t="s">
        <v>76</v>
      </c>
      <c r="B80" s="26">
        <v>673.0</v>
      </c>
      <c r="C80" s="36">
        <v>0.0139120116001856</v>
      </c>
      <c r="D80" s="36">
        <v>-0.0101686562465384</v>
      </c>
      <c r="E80" s="36">
        <v>5.5343880788428E-5</v>
      </c>
    </row>
    <row r="81">
      <c r="A81" s="26" t="s">
        <v>161</v>
      </c>
      <c r="B81" s="26">
        <v>360.0</v>
      </c>
      <c r="C81" s="36">
        <v>0.00721248091174926</v>
      </c>
      <c r="D81" s="36">
        <v>-0.0229810110654763</v>
      </c>
      <c r="E81" s="36">
        <v>3.22590853216384E-11</v>
      </c>
    </row>
    <row r="82">
      <c r="A82" s="26" t="s">
        <v>92</v>
      </c>
      <c r="B82" s="26">
        <v>294.0</v>
      </c>
      <c r="C82" s="36">
        <v>-0.0245135352423907</v>
      </c>
      <c r="D82" s="36">
        <v>-0.0283658516593681</v>
      </c>
      <c r="E82" s="36">
        <v>2.65766499522423E-11</v>
      </c>
    </row>
    <row r="83">
      <c r="A83" s="26" t="s">
        <v>162</v>
      </c>
      <c r="B83" s="26">
        <v>455.0</v>
      </c>
      <c r="C83" s="36">
        <v>-0.0211727776458726</v>
      </c>
      <c r="D83" s="36">
        <v>-0.0518277288801696</v>
      </c>
      <c r="E83" s="36">
        <v>1.20434632242877E-32</v>
      </c>
    </row>
    <row r="84">
      <c r="A84" s="26" t="s">
        <v>177</v>
      </c>
      <c r="B84" s="26">
        <v>668.0</v>
      </c>
      <c r="C84" s="36">
        <v>-0.0164599105470558</v>
      </c>
      <c r="D84" s="36">
        <v>-0.0277133269481334</v>
      </c>
      <c r="E84" s="36">
        <v>1.47781258278376E-16</v>
      </c>
    </row>
    <row r="85">
      <c r="A85" s="26" t="s">
        <v>89</v>
      </c>
      <c r="B85" s="26">
        <v>476.0</v>
      </c>
      <c r="C85" s="36">
        <v>0.0271965045107074</v>
      </c>
      <c r="D85" s="36">
        <v>-0.0137402483363048</v>
      </c>
      <c r="E85" s="36">
        <v>5.56278414165971E-6</v>
      </c>
    </row>
    <row r="86">
      <c r="A86" s="26" t="s">
        <v>143</v>
      </c>
      <c r="B86" s="26">
        <v>331.0</v>
      </c>
      <c r="C86" s="36">
        <v>0.00828895062190033</v>
      </c>
      <c r="D86" s="36">
        <v>-0.0200621133878547</v>
      </c>
      <c r="E86" s="36">
        <v>3.9917840586746E-8</v>
      </c>
    </row>
    <row r="87">
      <c r="A87" s="26" t="s">
        <v>34</v>
      </c>
      <c r="B87" s="26">
        <v>311.0</v>
      </c>
      <c r="C87" s="36">
        <v>0.0207996615798397</v>
      </c>
      <c r="D87" s="36">
        <v>-1.16598619308425E-4</v>
      </c>
      <c r="E87" s="36">
        <v>0.973033684079713</v>
      </c>
    </row>
    <row r="88">
      <c r="A88" s="26" t="s">
        <v>36</v>
      </c>
      <c r="B88" s="26">
        <v>438.0</v>
      </c>
      <c r="C88" s="36">
        <v>0.0351157261769049</v>
      </c>
      <c r="D88" s="36">
        <v>0.0302893334003892</v>
      </c>
      <c r="E88" s="36">
        <v>1.43804565382801E-17</v>
      </c>
    </row>
    <row r="89">
      <c r="A89" s="26" t="s">
        <v>16</v>
      </c>
      <c r="B89" s="26">
        <v>324.0</v>
      </c>
      <c r="C89" s="36">
        <v>0.00192756596243955</v>
      </c>
      <c r="D89" s="36">
        <v>-0.0107437669736045</v>
      </c>
      <c r="E89" s="36">
        <v>0.00168926045881908</v>
      </c>
    </row>
    <row r="90">
      <c r="A90" s="26" t="s">
        <v>144</v>
      </c>
      <c r="B90" s="26">
        <v>504.0</v>
      </c>
      <c r="C90" s="36">
        <v>0.015000669805803</v>
      </c>
      <c r="D90" s="36">
        <v>-0.0148351867177539</v>
      </c>
      <c r="E90" s="36">
        <v>2.09563471782617E-7</v>
      </c>
    </row>
    <row r="91">
      <c r="A91" s="26" t="s">
        <v>44</v>
      </c>
      <c r="B91" s="26">
        <v>402.0</v>
      </c>
      <c r="C91" s="36">
        <v>0.0343215064622608</v>
      </c>
      <c r="D91" s="36">
        <v>0.0190474704956717</v>
      </c>
      <c r="E91" s="36">
        <v>2.53488959958299E-9</v>
      </c>
    </row>
    <row r="92">
      <c r="A92" s="26" t="s">
        <v>63</v>
      </c>
      <c r="B92" s="26">
        <v>401.0</v>
      </c>
      <c r="C92" s="36">
        <v>0.028876824952472</v>
      </c>
      <c r="D92" s="36">
        <v>0.0027443466689814</v>
      </c>
      <c r="E92" s="36">
        <v>0.405232804262274</v>
      </c>
    </row>
    <row r="93">
      <c r="A93" s="26" t="s">
        <v>97</v>
      </c>
      <c r="B93" s="26">
        <v>665.0</v>
      </c>
      <c r="C93" s="36">
        <v>0.0187549158806686</v>
      </c>
      <c r="D93" s="36">
        <v>6.37052617378022E-4</v>
      </c>
      <c r="E93" s="36">
        <v>0.769896995875223</v>
      </c>
    </row>
    <row r="94">
      <c r="A94" s="26" t="s">
        <v>158</v>
      </c>
      <c r="B94" s="26">
        <v>502.0</v>
      </c>
      <c r="C94" s="36">
        <v>-0.00715423850020894</v>
      </c>
      <c r="D94" s="36">
        <v>-0.015678458893237</v>
      </c>
      <c r="E94" s="36">
        <v>7.35462849802066E-8</v>
      </c>
    </row>
    <row r="95">
      <c r="A95" s="26" t="s">
        <v>156</v>
      </c>
      <c r="B95" s="26">
        <v>336.0</v>
      </c>
      <c r="C95" s="36">
        <v>0.0108245972279384</v>
      </c>
      <c r="D95" s="36">
        <v>-0.0305377032588532</v>
      </c>
      <c r="E95" s="36">
        <v>9.97871792058437E-15</v>
      </c>
    </row>
    <row r="96">
      <c r="A96" s="26" t="s">
        <v>117</v>
      </c>
      <c r="B96" s="26">
        <v>342.0</v>
      </c>
      <c r="C96" s="36">
        <v>-0.00326581585634244</v>
      </c>
      <c r="D96" s="36">
        <v>-0.0193089483194095</v>
      </c>
      <c r="E96" s="36">
        <v>3.01560813057371E-8</v>
      </c>
    </row>
    <row r="97">
      <c r="A97" s="26" t="s">
        <v>136</v>
      </c>
      <c r="B97" s="26">
        <v>689.0</v>
      </c>
      <c r="C97" s="36">
        <v>0.0106720456575201</v>
      </c>
      <c r="D97" s="36">
        <v>-0.0160809630510106</v>
      </c>
      <c r="E97" s="36">
        <v>1.22396187755435E-9</v>
      </c>
    </row>
    <row r="98">
      <c r="A98" s="26" t="s">
        <v>169</v>
      </c>
      <c r="B98" s="26">
        <v>318.0</v>
      </c>
      <c r="C98" s="36">
        <v>-0.0153347763003698</v>
      </c>
      <c r="D98" s="36">
        <v>-0.0442611862788596</v>
      </c>
      <c r="E98" s="36">
        <v>1.18152532352369E-20</v>
      </c>
    </row>
    <row r="99">
      <c r="A99" s="26" t="s">
        <v>146</v>
      </c>
      <c r="B99" s="26">
        <v>571.0</v>
      </c>
      <c r="C99" s="36">
        <v>0.0273697747626717</v>
      </c>
      <c r="D99" s="36">
        <v>-0.0107119373456619</v>
      </c>
      <c r="E99" s="36">
        <v>1.43550174140876E-4</v>
      </c>
    </row>
    <row r="100">
      <c r="A100" s="26" t="s">
        <v>91</v>
      </c>
      <c r="B100" s="26">
        <v>928.0</v>
      </c>
      <c r="C100" s="36">
        <v>0.024078440614497</v>
      </c>
      <c r="D100" s="36">
        <v>-0.00770562972279056</v>
      </c>
      <c r="E100" s="36">
        <v>2.65152714496408E-4</v>
      </c>
    </row>
    <row r="101">
      <c r="A101" s="26" t="s">
        <v>131</v>
      </c>
      <c r="B101" s="26">
        <v>507.0</v>
      </c>
      <c r="C101" s="36">
        <v>0.0250126979125639</v>
      </c>
      <c r="D101" s="36">
        <v>-0.00417227048258368</v>
      </c>
      <c r="E101" s="36">
        <v>0.169425797546126</v>
      </c>
    </row>
    <row r="102">
      <c r="A102" s="26" t="s">
        <v>95</v>
      </c>
      <c r="B102" s="26">
        <v>440.0</v>
      </c>
      <c r="C102" s="36">
        <v>0.0359242502561365</v>
      </c>
      <c r="D102" s="36">
        <v>0.00694793640637358</v>
      </c>
      <c r="E102" s="36">
        <v>0.0319508866399023</v>
      </c>
    </row>
    <row r="103">
      <c r="A103" s="26" t="s">
        <v>142</v>
      </c>
      <c r="B103" s="26">
        <v>674.0</v>
      </c>
      <c r="C103" s="36">
        <v>-0.0039565813714366</v>
      </c>
      <c r="D103" s="36">
        <v>-0.0211712520327014</v>
      </c>
      <c r="E103" s="36">
        <v>5.41641079090075E-14</v>
      </c>
    </row>
    <row r="104">
      <c r="A104" s="26" t="s">
        <v>50</v>
      </c>
      <c r="B104" s="26">
        <v>418.0</v>
      </c>
      <c r="C104" s="36">
        <v>0.0504562181560673</v>
      </c>
      <c r="D104" s="36">
        <v>0.0189309501728286</v>
      </c>
      <c r="E104" s="36">
        <v>6.93216345187413E-10</v>
      </c>
    </row>
    <row r="105">
      <c r="A105" s="26" t="s">
        <v>178</v>
      </c>
      <c r="B105" s="26">
        <v>619.0</v>
      </c>
      <c r="C105" s="36">
        <v>-0.0331584929625078</v>
      </c>
      <c r="D105" s="36">
        <v>-0.0441067949015819</v>
      </c>
      <c r="E105" s="36">
        <v>4.77119984953246E-28</v>
      </c>
    </row>
    <row r="106">
      <c r="A106" s="26" t="s">
        <v>120</v>
      </c>
      <c r="B106" s="26">
        <v>342.0</v>
      </c>
      <c r="C106" s="36">
        <v>-0.00701020945572385</v>
      </c>
      <c r="D106" s="36">
        <v>-0.0187359778580679</v>
      </c>
      <c r="E106" s="36">
        <v>1.43498140577474E-7</v>
      </c>
    </row>
    <row r="107">
      <c r="A107" s="26" t="s">
        <v>88</v>
      </c>
      <c r="B107" s="26">
        <v>595.0</v>
      </c>
      <c r="C107" s="36">
        <v>0.00899425658200796</v>
      </c>
      <c r="D107" s="36">
        <v>-0.00496820086723789</v>
      </c>
      <c r="E107" s="36">
        <v>0.0499932635502977</v>
      </c>
    </row>
    <row r="108">
      <c r="A108" s="26" t="s">
        <v>151</v>
      </c>
      <c r="B108" s="26">
        <v>372.0</v>
      </c>
      <c r="C108" s="36">
        <v>-0.0149221110369211</v>
      </c>
      <c r="D108" s="36">
        <v>-0.0364798639679409</v>
      </c>
      <c r="E108" s="36">
        <v>3.50197862267955E-21</v>
      </c>
    </row>
    <row r="109">
      <c r="A109" s="26" t="s">
        <v>167</v>
      </c>
      <c r="B109" s="26">
        <v>535.0</v>
      </c>
      <c r="C109" s="36">
        <v>-0.0164077747897447</v>
      </c>
      <c r="D109" s="36">
        <v>-0.0350200658409762</v>
      </c>
      <c r="E109" s="36">
        <v>1.0627834685997E-22</v>
      </c>
    </row>
    <row r="110">
      <c r="A110" s="26" t="s">
        <v>28</v>
      </c>
      <c r="B110" s="26">
        <v>299.0</v>
      </c>
      <c r="C110" s="36">
        <v>0.041300554244525</v>
      </c>
      <c r="D110" s="36">
        <v>0.00253991292986267</v>
      </c>
      <c r="E110" s="36">
        <v>0.483341551993728</v>
      </c>
    </row>
    <row r="111">
      <c r="A111" s="26" t="s">
        <v>70</v>
      </c>
      <c r="B111" s="26">
        <v>509.0</v>
      </c>
      <c r="C111" s="36">
        <v>0.0179224549204311</v>
      </c>
      <c r="D111" s="36">
        <v>-0.00319853760437072</v>
      </c>
      <c r="E111" s="36">
        <v>0.150518942602146</v>
      </c>
    </row>
    <row r="112">
      <c r="A112" s="26" t="s">
        <v>20</v>
      </c>
      <c r="B112" s="26">
        <v>441.0</v>
      </c>
      <c r="C112" s="36">
        <v>0.0234990804566535</v>
      </c>
      <c r="D112" s="36">
        <v>0.011276191069911</v>
      </c>
      <c r="E112" s="36">
        <v>9.84441481670059E-4</v>
      </c>
    </row>
    <row r="113">
      <c r="A113" s="26" t="s">
        <v>71</v>
      </c>
      <c r="B113" s="26">
        <v>447.0</v>
      </c>
      <c r="C113" s="36">
        <v>0.0166989309693579</v>
      </c>
      <c r="D113" s="36">
        <v>0.00683203890931382</v>
      </c>
      <c r="E113" s="36">
        <v>0.0113790181925372</v>
      </c>
    </row>
    <row r="114">
      <c r="A114" s="26" t="s">
        <v>67</v>
      </c>
      <c r="B114" s="26">
        <v>331.0</v>
      </c>
      <c r="C114" s="36">
        <v>0.0295205525217226</v>
      </c>
      <c r="D114" s="36">
        <v>0.0105988413690386</v>
      </c>
      <c r="E114" s="36">
        <v>0.00156300404085925</v>
      </c>
    </row>
    <row r="115">
      <c r="A115" s="26" t="s">
        <v>148</v>
      </c>
      <c r="B115" s="26">
        <v>535.0</v>
      </c>
      <c r="C115" s="36">
        <v>-0.0147803610495612</v>
      </c>
      <c r="D115" s="36">
        <v>-0.0259506554711382</v>
      </c>
      <c r="E115" s="36">
        <v>1.99466901090817E-16</v>
      </c>
    </row>
    <row r="116">
      <c r="A116" s="26" t="s">
        <v>81</v>
      </c>
      <c r="B116" s="26">
        <v>603.0</v>
      </c>
      <c r="C116" s="36">
        <v>0.0236866569341387</v>
      </c>
      <c r="D116" s="36">
        <v>0.010690032014369</v>
      </c>
      <c r="E116" s="36">
        <v>3.57782276631556E-5</v>
      </c>
    </row>
    <row r="117">
      <c r="A117" s="26" t="s">
        <v>40</v>
      </c>
      <c r="B117" s="26">
        <v>373.0</v>
      </c>
      <c r="C117" s="36">
        <v>0.024141337306897</v>
      </c>
      <c r="D117" s="36">
        <v>0.00122724255707391</v>
      </c>
      <c r="E117" s="36">
        <v>0.646853999205821</v>
      </c>
    </row>
    <row r="118">
      <c r="A118" s="26" t="s">
        <v>110</v>
      </c>
      <c r="B118" s="26">
        <v>494.0</v>
      </c>
      <c r="C118" s="36">
        <v>0.00182941124708864</v>
      </c>
      <c r="D118" s="36">
        <v>-0.0103299368053136</v>
      </c>
      <c r="E118" s="36">
        <v>1.70688662604425E-4</v>
      </c>
    </row>
    <row r="119">
      <c r="A119" s="26" t="s">
        <v>166</v>
      </c>
      <c r="B119" s="26">
        <v>669.0</v>
      </c>
      <c r="C119" s="36">
        <v>-0.0109637998956507</v>
      </c>
      <c r="D119" s="36">
        <v>-0.0246994654823039</v>
      </c>
      <c r="E119" s="36">
        <v>2.3853301373435E-18</v>
      </c>
    </row>
    <row r="120">
      <c r="A120" s="26" t="s">
        <v>99</v>
      </c>
      <c r="B120" s="26">
        <v>353.0</v>
      </c>
      <c r="C120" s="36">
        <v>-0.0244232488055342</v>
      </c>
      <c r="D120" s="36">
        <v>-0.0363110288780341</v>
      </c>
      <c r="E120" s="36">
        <v>2.4268645152817E-18</v>
      </c>
    </row>
    <row r="121">
      <c r="A121" s="26" t="s">
        <v>73</v>
      </c>
      <c r="B121" s="26">
        <v>689.0</v>
      </c>
      <c r="C121" s="36">
        <v>0.0307603574501163</v>
      </c>
      <c r="D121" s="36">
        <v>-0.00123130534317764</v>
      </c>
      <c r="E121" s="36">
        <v>0.606085417693698</v>
      </c>
    </row>
    <row r="122">
      <c r="A122" s="26" t="s">
        <v>116</v>
      </c>
      <c r="B122" s="26">
        <v>662.0</v>
      </c>
      <c r="C122" s="36">
        <v>0.0092322836414828</v>
      </c>
      <c r="D122" s="36">
        <v>-0.0315976267950892</v>
      </c>
      <c r="E122" s="36">
        <v>1.51883195307852E-27</v>
      </c>
    </row>
    <row r="123">
      <c r="A123" s="26" t="s">
        <v>82</v>
      </c>
      <c r="B123" s="26">
        <v>477.0</v>
      </c>
      <c r="C123" s="36">
        <v>-0.0012610362119041</v>
      </c>
      <c r="D123" s="36">
        <v>-0.0400284583637711</v>
      </c>
      <c r="E123" s="36">
        <v>3.16990812973556E-22</v>
      </c>
    </row>
    <row r="124">
      <c r="A124" s="26" t="s">
        <v>190</v>
      </c>
      <c r="B124" s="26">
        <v>219.0</v>
      </c>
      <c r="C124" s="36">
        <v>-0.0271107022196749</v>
      </c>
      <c r="D124" s="36">
        <v>-0.0545432611988165</v>
      </c>
      <c r="E124" s="36">
        <v>1.91314196190859E-24</v>
      </c>
    </row>
    <row r="125">
      <c r="A125" s="26" t="s">
        <v>132</v>
      </c>
      <c r="B125" s="26">
        <v>434.0</v>
      </c>
      <c r="C125" s="36">
        <v>0.0341650304632497</v>
      </c>
      <c r="D125" s="36">
        <v>-0.0012797800523289</v>
      </c>
      <c r="E125" s="36">
        <v>0.687729118581495</v>
      </c>
    </row>
    <row r="126">
      <c r="A126" s="26" t="s">
        <v>79</v>
      </c>
      <c r="B126" s="26">
        <v>520.0</v>
      </c>
      <c r="C126" s="36">
        <v>0.0309135376393742</v>
      </c>
      <c r="D126" s="36">
        <v>0.00278512917061603</v>
      </c>
      <c r="E126" s="36">
        <v>0.323556197238567</v>
      </c>
    </row>
    <row r="127">
      <c r="A127" s="26" t="s">
        <v>101</v>
      </c>
      <c r="B127" s="26">
        <v>455.0</v>
      </c>
      <c r="C127" s="36">
        <v>-0.00695695710846675</v>
      </c>
      <c r="D127" s="36">
        <v>-0.0117542969551026</v>
      </c>
      <c r="E127" s="36">
        <v>3.51056892052902E-4</v>
      </c>
    </row>
    <row r="128">
      <c r="A128" s="26" t="s">
        <v>123</v>
      </c>
      <c r="B128" s="26">
        <v>467.0</v>
      </c>
      <c r="C128" s="36">
        <v>0.0124563594765243</v>
      </c>
      <c r="D128" s="36">
        <v>-0.0172437405450919</v>
      </c>
      <c r="E128" s="36">
        <v>6.32406615650719E-8</v>
      </c>
    </row>
    <row r="129">
      <c r="A129" s="26" t="s">
        <v>46</v>
      </c>
      <c r="B129" s="26">
        <v>419.0</v>
      </c>
      <c r="C129" s="36">
        <v>-9.16037141503945E-4</v>
      </c>
      <c r="D129" s="36">
        <v>0.00265322616003687</v>
      </c>
      <c r="E129" s="36">
        <v>0.403376750965253</v>
      </c>
    </row>
    <row r="130">
      <c r="A130" s="26" t="s">
        <v>18</v>
      </c>
      <c r="B130" s="26">
        <v>328.0</v>
      </c>
      <c r="C130" s="36">
        <v>0.0157130599271162</v>
      </c>
      <c r="D130" s="36">
        <v>0.00988651215047205</v>
      </c>
      <c r="E130" s="36">
        <v>0.00697314863066598</v>
      </c>
    </row>
    <row r="131">
      <c r="A131" s="26" t="s">
        <v>153</v>
      </c>
      <c r="B131" s="26">
        <v>306.0</v>
      </c>
      <c r="C131" s="36">
        <v>-0.0467646379222489</v>
      </c>
      <c r="D131" s="36">
        <v>-0.0286266938070083</v>
      </c>
      <c r="E131" s="36">
        <v>8.78435686847433E-12</v>
      </c>
    </row>
    <row r="132">
      <c r="A132" s="26" t="s">
        <v>165</v>
      </c>
      <c r="B132" s="26">
        <v>784.0</v>
      </c>
      <c r="C132" s="36">
        <v>0.0464442259802295</v>
      </c>
      <c r="D132" s="36">
        <v>-0.0361531911884318</v>
      </c>
      <c r="E132" s="36">
        <v>1.62267304435812E-31</v>
      </c>
    </row>
    <row r="133">
      <c r="A133" s="26" t="s">
        <v>157</v>
      </c>
      <c r="B133" s="26">
        <v>456.0</v>
      </c>
      <c r="C133" s="36">
        <v>0.0269727700581497</v>
      </c>
      <c r="D133" s="36">
        <v>-0.0165807064304437</v>
      </c>
      <c r="E133" s="36">
        <v>1.24857065474365E-6</v>
      </c>
    </row>
    <row r="134">
      <c r="A134" s="26" t="s">
        <v>188</v>
      </c>
      <c r="B134" s="26">
        <v>212.0</v>
      </c>
      <c r="C134" s="36">
        <v>-0.00753235674054761</v>
      </c>
      <c r="D134" s="36">
        <v>-0.0289950025647027</v>
      </c>
      <c r="E134" s="36">
        <v>1.19614195865251E-9</v>
      </c>
    </row>
    <row r="135">
      <c r="A135" s="26" t="s">
        <v>182</v>
      </c>
      <c r="B135" s="26">
        <v>303.0</v>
      </c>
      <c r="C135" s="36">
        <v>-0.0164509724418703</v>
      </c>
      <c r="D135" s="36">
        <v>-0.0510466634259648</v>
      </c>
      <c r="E135" s="36">
        <v>2.8518385217119E-25</v>
      </c>
    </row>
    <row r="136">
      <c r="A136" s="26" t="s">
        <v>175</v>
      </c>
      <c r="B136" s="26">
        <v>610.0</v>
      </c>
      <c r="C136" s="36">
        <v>0.0180251888456969</v>
      </c>
      <c r="D136" s="36">
        <v>-0.0383531974408636</v>
      </c>
      <c r="E136" s="36">
        <v>2.29938292305713E-26</v>
      </c>
    </row>
    <row r="137">
      <c r="A137" s="26" t="s">
        <v>66</v>
      </c>
      <c r="B137" s="26">
        <v>715.0</v>
      </c>
      <c r="C137" s="36">
        <v>0.0559248323914586</v>
      </c>
      <c r="D137" s="36">
        <v>0.00327295542470961</v>
      </c>
      <c r="E137" s="36">
        <v>0.162126712495221</v>
      </c>
    </row>
    <row r="138">
      <c r="A138" s="26" t="s">
        <v>22</v>
      </c>
      <c r="B138" s="26">
        <v>458.0</v>
      </c>
      <c r="C138" s="36">
        <v>0.0388118893657929</v>
      </c>
      <c r="D138" s="36">
        <v>0.0225759733126568</v>
      </c>
      <c r="E138" s="36">
        <v>1.75513338974499E-11</v>
      </c>
    </row>
    <row r="139">
      <c r="A139" s="26" t="s">
        <v>65</v>
      </c>
      <c r="B139" s="26">
        <v>546.0</v>
      </c>
      <c r="C139" s="36">
        <v>0.0322392173413326</v>
      </c>
      <c r="D139" s="36">
        <v>-0.00540836200033025</v>
      </c>
      <c r="E139" s="36">
        <v>0.0587078544266383</v>
      </c>
    </row>
    <row r="140">
      <c r="A140" s="26" t="s">
        <v>113</v>
      </c>
      <c r="B140" s="26">
        <v>551.0</v>
      </c>
      <c r="C140" s="36">
        <v>0.0234899986063195</v>
      </c>
      <c r="D140" s="36">
        <v>-0.00621490541861084</v>
      </c>
      <c r="E140" s="36">
        <v>0.00442953916978847</v>
      </c>
    </row>
    <row r="141">
      <c r="A141" s="26" t="s">
        <v>93</v>
      </c>
      <c r="B141" s="26">
        <v>333.0</v>
      </c>
      <c r="C141" s="36">
        <v>0.0450321122897946</v>
      </c>
      <c r="D141" s="36">
        <v>0.0271445905414111</v>
      </c>
      <c r="E141" s="36">
        <v>8.27197828093454E-13</v>
      </c>
    </row>
    <row r="142">
      <c r="A142" s="26" t="s">
        <v>128</v>
      </c>
      <c r="B142" s="26">
        <v>787.0</v>
      </c>
      <c r="C142" s="36">
        <v>0.0129165199528317</v>
      </c>
      <c r="D142" s="36">
        <v>-0.00322703413763718</v>
      </c>
      <c r="E142" s="36">
        <v>0.143556403688169</v>
      </c>
    </row>
    <row r="143">
      <c r="A143" s="26" t="s">
        <v>115</v>
      </c>
      <c r="B143" s="26">
        <v>275.0</v>
      </c>
      <c r="C143" s="36">
        <v>0.0305642935155554</v>
      </c>
      <c r="D143" s="36">
        <v>0.00630204861341066</v>
      </c>
      <c r="E143" s="36">
        <v>0.119346261477158</v>
      </c>
    </row>
    <row r="144">
      <c r="A144" s="26" t="s">
        <v>24</v>
      </c>
      <c r="B144" s="26">
        <v>566.0</v>
      </c>
      <c r="C144" s="36">
        <v>0.0792065128701983</v>
      </c>
      <c r="D144" s="36">
        <v>0.0167791339902</v>
      </c>
      <c r="E144" s="36">
        <v>1.32211249829366E-8</v>
      </c>
    </row>
    <row r="145">
      <c r="A145" s="26" t="s">
        <v>56</v>
      </c>
      <c r="B145" s="26">
        <v>393.0</v>
      </c>
      <c r="C145" s="36">
        <v>0.0629393218670621</v>
      </c>
      <c r="D145" s="36">
        <v>0.0150169416769754</v>
      </c>
      <c r="E145" s="36">
        <v>1.35111232487377E-6</v>
      </c>
    </row>
    <row r="146">
      <c r="A146" s="26" t="s">
        <v>68</v>
      </c>
      <c r="B146" s="26">
        <v>514.0</v>
      </c>
      <c r="C146" s="36">
        <v>0.0691714441597416</v>
      </c>
      <c r="D146" s="36">
        <v>9.65125980052631E-4</v>
      </c>
      <c r="E146" s="36">
        <v>0.693259866256106</v>
      </c>
    </row>
    <row r="147">
      <c r="A147" s="26" t="s">
        <v>87</v>
      </c>
      <c r="B147" s="26">
        <v>644.0</v>
      </c>
      <c r="C147" s="36">
        <v>0.0444506815824453</v>
      </c>
      <c r="D147" s="36">
        <v>-0.0178014538594419</v>
      </c>
      <c r="E147" s="36">
        <v>1.2049517409565E-10</v>
      </c>
    </row>
    <row r="148">
      <c r="A148" s="26" t="s">
        <v>122</v>
      </c>
      <c r="B148" s="26">
        <v>558.0</v>
      </c>
      <c r="C148" s="36">
        <v>0.0310983983848561</v>
      </c>
      <c r="D148" s="36">
        <v>-0.00817697547522928</v>
      </c>
      <c r="E148" s="36">
        <v>0.00233722782093139</v>
      </c>
    </row>
    <row r="149">
      <c r="A149" s="26" t="s">
        <v>54</v>
      </c>
      <c r="B149" s="26">
        <v>572.0</v>
      </c>
      <c r="C149" s="36">
        <v>0.0290468507998608</v>
      </c>
      <c r="D149" s="36">
        <v>0.00987422235127515</v>
      </c>
      <c r="E149" s="36">
        <v>5.40918291908841E-5</v>
      </c>
    </row>
    <row r="150">
      <c r="A150" s="26" t="s">
        <v>58</v>
      </c>
      <c r="B150" s="26">
        <v>445.0</v>
      </c>
      <c r="C150" s="36">
        <v>0.0239721715868151</v>
      </c>
      <c r="D150" s="36">
        <v>0.00317979974702792</v>
      </c>
      <c r="E150" s="36">
        <v>0.26866641694865</v>
      </c>
    </row>
    <row r="151">
      <c r="A151" s="26" t="s">
        <v>111</v>
      </c>
      <c r="B151" s="26">
        <v>448.0</v>
      </c>
      <c r="C151" s="36">
        <v>0.00522519218459678</v>
      </c>
      <c r="D151" s="36">
        <v>0.00237779292127004</v>
      </c>
      <c r="E151" s="36">
        <v>0.399962884359755</v>
      </c>
    </row>
    <row r="152">
      <c r="A152" s="26" t="s">
        <v>62</v>
      </c>
      <c r="B152" s="26">
        <v>651.0</v>
      </c>
      <c r="C152" s="36">
        <v>0.0172062792168028</v>
      </c>
      <c r="D152" s="36">
        <v>0.00220682354580643</v>
      </c>
      <c r="E152" s="36">
        <v>0.383939045511963</v>
      </c>
    </row>
    <row r="153">
      <c r="A153" s="26" t="s">
        <v>189</v>
      </c>
      <c r="B153" s="26">
        <v>331.0</v>
      </c>
      <c r="C153" s="36">
        <v>-0.0291258279913929</v>
      </c>
      <c r="D153" s="36">
        <v>-0.0657565581801907</v>
      </c>
      <c r="E153" s="36">
        <v>3.26899421333439E-31</v>
      </c>
    </row>
    <row r="154">
      <c r="A154" s="26" t="s">
        <v>184</v>
      </c>
      <c r="B154" s="26">
        <v>343.0</v>
      </c>
      <c r="C154" s="36">
        <v>-0.0381844227748354</v>
      </c>
      <c r="D154" s="36">
        <v>-0.0591502763334551</v>
      </c>
      <c r="E154" s="36">
        <v>8.10457653535581E-32</v>
      </c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  <row r="1001">
      <c r="C1001" s="13"/>
      <c r="D1001" s="13"/>
      <c r="E1001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</cols>
  <sheetData>
    <row r="1">
      <c r="A1" s="27" t="s">
        <v>0</v>
      </c>
      <c r="B1" s="27" t="s">
        <v>209</v>
      </c>
      <c r="C1" s="27" t="s">
        <v>210</v>
      </c>
      <c r="D1" s="27" t="s">
        <v>211</v>
      </c>
      <c r="E1" s="27" t="s">
        <v>212</v>
      </c>
    </row>
    <row r="2">
      <c r="A2" s="26" t="s">
        <v>133</v>
      </c>
      <c r="B2" s="26">
        <v>287.0</v>
      </c>
      <c r="C2" s="36">
        <v>0.00495441657719207</v>
      </c>
      <c r="D2" s="36">
        <v>-0.02249027583627</v>
      </c>
      <c r="E2" s="36">
        <v>1.77293151890401E-7</v>
      </c>
    </row>
    <row r="3">
      <c r="A3" s="26" t="s">
        <v>171</v>
      </c>
      <c r="B3" s="26">
        <v>113.0</v>
      </c>
      <c r="C3" s="36">
        <v>-0.00240193628890228</v>
      </c>
      <c r="D3" s="36">
        <v>-0.0171621690198769</v>
      </c>
      <c r="E3" s="36">
        <v>0.00977041731026651</v>
      </c>
    </row>
    <row r="4">
      <c r="A4" s="26" t="s">
        <v>30</v>
      </c>
      <c r="B4" s="26">
        <v>316.0</v>
      </c>
      <c r="C4" s="36">
        <v>0.0421954233659929</v>
      </c>
      <c r="D4" s="36">
        <v>0.0129258934027271</v>
      </c>
      <c r="E4" s="36">
        <v>0.00151568576007783</v>
      </c>
    </row>
    <row r="5">
      <c r="A5" s="26" t="s">
        <v>69</v>
      </c>
      <c r="B5" s="26">
        <v>193.0</v>
      </c>
      <c r="C5" s="36">
        <v>0.0222826750264869</v>
      </c>
      <c r="D5" s="36">
        <v>-0.00511205511649187</v>
      </c>
      <c r="E5" s="36">
        <v>0.211581939079901</v>
      </c>
    </row>
    <row r="6">
      <c r="A6" s="26" t="s">
        <v>186</v>
      </c>
      <c r="B6" s="26">
        <v>135.0</v>
      </c>
      <c r="C6" s="36">
        <v>-0.043683235654256</v>
      </c>
      <c r="D6" s="36">
        <v>-0.0502003950560745</v>
      </c>
      <c r="E6" s="36">
        <v>4.68560325236123E-13</v>
      </c>
    </row>
    <row r="7">
      <c r="A7" s="26" t="s">
        <v>174</v>
      </c>
      <c r="B7" s="26">
        <v>170.0</v>
      </c>
      <c r="C7" s="36">
        <v>-0.0448474769494522</v>
      </c>
      <c r="D7" s="36">
        <v>-0.0519287545811136</v>
      </c>
      <c r="E7" s="36">
        <v>3.17592593327647E-17</v>
      </c>
    </row>
    <row r="8">
      <c r="A8" s="26" t="s">
        <v>159</v>
      </c>
      <c r="B8" s="26">
        <v>121.0</v>
      </c>
      <c r="C8" s="36">
        <v>0.0612467848816477</v>
      </c>
      <c r="D8" s="36">
        <v>0.047428789741057</v>
      </c>
      <c r="E8" s="36">
        <v>2.27184796140683E-10</v>
      </c>
    </row>
    <row r="9">
      <c r="A9" s="26" t="s">
        <v>126</v>
      </c>
      <c r="B9" s="26">
        <v>265.0</v>
      </c>
      <c r="C9" s="36">
        <v>0.0313047923593574</v>
      </c>
      <c r="D9" s="36">
        <v>0.00476098031750124</v>
      </c>
      <c r="E9" s="36">
        <v>0.310342375472844</v>
      </c>
    </row>
    <row r="10">
      <c r="A10" s="26" t="s">
        <v>112</v>
      </c>
      <c r="B10" s="26">
        <v>105.0</v>
      </c>
      <c r="C10" s="36">
        <v>0.00196928860536886</v>
      </c>
      <c r="D10" s="36">
        <v>0.00575817293041052</v>
      </c>
      <c r="E10" s="36">
        <v>0.341444871410354</v>
      </c>
    </row>
    <row r="11">
      <c r="A11" s="26" t="s">
        <v>185</v>
      </c>
      <c r="B11" s="26">
        <v>271.0</v>
      </c>
      <c r="C11" s="36">
        <v>-0.0354073356972895</v>
      </c>
      <c r="D11" s="36">
        <v>-0.0630368596860889</v>
      </c>
      <c r="E11" s="36">
        <v>1.48967896605946E-27</v>
      </c>
    </row>
    <row r="12">
      <c r="A12" s="26" t="s">
        <v>170</v>
      </c>
      <c r="B12" s="26">
        <v>195.0</v>
      </c>
      <c r="C12" s="36">
        <v>-0.00273027164535334</v>
      </c>
      <c r="D12" s="36">
        <v>-0.0295094946170892</v>
      </c>
      <c r="E12" s="36">
        <v>3.91393190146076E-7</v>
      </c>
    </row>
    <row r="13">
      <c r="A13" s="26" t="s">
        <v>173</v>
      </c>
      <c r="B13" s="26">
        <v>291.0</v>
      </c>
      <c r="C13" s="36">
        <v>0.0134807784597781</v>
      </c>
      <c r="D13" s="36">
        <v>-0.0206265954534021</v>
      </c>
      <c r="E13" s="36">
        <v>1.39794618297079E-6</v>
      </c>
    </row>
    <row r="14">
      <c r="A14" s="26" t="s">
        <v>107</v>
      </c>
      <c r="B14" s="26">
        <v>279.0</v>
      </c>
      <c r="C14" s="36">
        <v>0.0484835077935938</v>
      </c>
      <c r="D14" s="36">
        <v>0.0238790999723025</v>
      </c>
      <c r="E14" s="36">
        <v>2.45966858436306E-8</v>
      </c>
    </row>
    <row r="15">
      <c r="A15" s="26" t="s">
        <v>139</v>
      </c>
      <c r="B15" s="26">
        <v>259.0</v>
      </c>
      <c r="C15" s="36">
        <v>0.0123143493295653</v>
      </c>
      <c r="D15" s="36">
        <v>-0.0326902824360529</v>
      </c>
      <c r="E15" s="36">
        <v>4.02404526543693E-12</v>
      </c>
    </row>
    <row r="16">
      <c r="A16" s="26" t="s">
        <v>64</v>
      </c>
      <c r="B16" s="26">
        <v>311.0</v>
      </c>
      <c r="C16" s="36">
        <v>0.0059200886693965</v>
      </c>
      <c r="D16" s="36">
        <v>-0.0190151922297464</v>
      </c>
      <c r="E16" s="36">
        <v>2.22684058450365E-7</v>
      </c>
    </row>
    <row r="17">
      <c r="A17" s="26" t="s">
        <v>100</v>
      </c>
      <c r="B17" s="26">
        <v>260.0</v>
      </c>
      <c r="C17" s="36">
        <v>-0.00314127897642677</v>
      </c>
      <c r="D17" s="36">
        <v>-0.0131478714967961</v>
      </c>
      <c r="E17" s="36">
        <v>0.0029364427666499</v>
      </c>
    </row>
    <row r="18">
      <c r="A18" s="26" t="s">
        <v>124</v>
      </c>
      <c r="B18" s="26">
        <v>209.0</v>
      </c>
      <c r="C18" s="36">
        <v>0.0471053545039505</v>
      </c>
      <c r="D18" s="36">
        <v>0.0349522999390444</v>
      </c>
      <c r="E18" s="36">
        <v>1.8102339100289E-12</v>
      </c>
    </row>
    <row r="19">
      <c r="A19" s="26" t="s">
        <v>145</v>
      </c>
      <c r="B19" s="26">
        <v>230.0</v>
      </c>
      <c r="C19" s="36">
        <v>-0.0253211909229376</v>
      </c>
      <c r="D19" s="36">
        <v>-0.05665490000026</v>
      </c>
      <c r="E19" s="36">
        <v>4.5341483197157E-20</v>
      </c>
    </row>
    <row r="20">
      <c r="A20" s="26" t="s">
        <v>80</v>
      </c>
      <c r="B20" s="26">
        <v>159.0</v>
      </c>
      <c r="C20" s="36">
        <v>-0.0640721339713408</v>
      </c>
      <c r="D20" s="36">
        <v>-0.0773286532750975</v>
      </c>
      <c r="E20" s="36">
        <v>2.15739673895812E-26</v>
      </c>
    </row>
    <row r="21">
      <c r="A21" s="26" t="s">
        <v>118</v>
      </c>
      <c r="B21" s="26">
        <v>364.0</v>
      </c>
      <c r="C21" s="36">
        <v>-0.0193236708927497</v>
      </c>
      <c r="D21" s="36">
        <v>-0.0215306947498906</v>
      </c>
      <c r="E21" s="36">
        <v>9.23821555071198E-12</v>
      </c>
    </row>
    <row r="22">
      <c r="A22" s="26" t="s">
        <v>75</v>
      </c>
      <c r="B22" s="26">
        <v>172.0</v>
      </c>
      <c r="C22" s="36">
        <v>-0.0267196651659604</v>
      </c>
      <c r="D22" s="36">
        <v>-0.00116293935169327</v>
      </c>
      <c r="E22" s="36">
        <v>0.828606207778635</v>
      </c>
    </row>
    <row r="23">
      <c r="A23" s="26" t="s">
        <v>74</v>
      </c>
      <c r="B23" s="26">
        <v>109.0</v>
      </c>
      <c r="C23" s="36">
        <v>-0.0447106865141515</v>
      </c>
      <c r="D23" s="36">
        <v>-0.067045224559226</v>
      </c>
      <c r="E23" s="36">
        <v>1.67557377690163E-19</v>
      </c>
    </row>
    <row r="24">
      <c r="A24" s="26" t="s">
        <v>140</v>
      </c>
      <c r="B24" s="26">
        <v>153.0</v>
      </c>
      <c r="C24" s="36">
        <v>0.00749032404508203</v>
      </c>
      <c r="D24" s="36">
        <v>-5.76296338013082E-4</v>
      </c>
      <c r="E24" s="36">
        <v>0.915028034721139</v>
      </c>
    </row>
    <row r="25">
      <c r="A25" s="26" t="s">
        <v>147</v>
      </c>
      <c r="B25" s="26">
        <v>96.0</v>
      </c>
      <c r="C25" s="36">
        <v>0.0247414209481203</v>
      </c>
      <c r="D25" s="36">
        <v>0.00108750969588588</v>
      </c>
      <c r="E25" s="36">
        <v>0.854521531540871</v>
      </c>
    </row>
    <row r="26">
      <c r="A26" s="26" t="s">
        <v>130</v>
      </c>
      <c r="B26" s="26">
        <v>220.0</v>
      </c>
      <c r="C26" s="36">
        <v>0.016565747416918</v>
      </c>
      <c r="D26" s="36">
        <v>-0.0198818713561196</v>
      </c>
      <c r="E26" s="36">
        <v>4.1140264394547E-6</v>
      </c>
    </row>
    <row r="27">
      <c r="A27" s="26" t="s">
        <v>163</v>
      </c>
      <c r="B27" s="26">
        <v>125.0</v>
      </c>
      <c r="C27" s="36">
        <v>-0.0572588911565611</v>
      </c>
      <c r="D27" s="36">
        <v>-0.0357584988219509</v>
      </c>
      <c r="E27" s="36">
        <v>1.93576134941695E-8</v>
      </c>
    </row>
    <row r="28">
      <c r="A28" s="26" t="s">
        <v>109</v>
      </c>
      <c r="B28" s="26">
        <v>221.0</v>
      </c>
      <c r="C28" s="36">
        <v>0.0348920640809926</v>
      </c>
      <c r="D28" s="36">
        <v>0.00610407014595889</v>
      </c>
      <c r="E28" s="36">
        <v>0.252685561550286</v>
      </c>
    </row>
    <row r="29">
      <c r="A29" s="26" t="s">
        <v>127</v>
      </c>
      <c r="B29" s="26">
        <v>213.0</v>
      </c>
      <c r="C29" s="36">
        <v>-0.0134083816442819</v>
      </c>
      <c r="D29" s="36">
        <v>-0.0411419188835099</v>
      </c>
      <c r="E29" s="36">
        <v>6.69194537359894E-16</v>
      </c>
    </row>
    <row r="30">
      <c r="A30" s="26" t="s">
        <v>160</v>
      </c>
      <c r="B30" s="26">
        <v>139.0</v>
      </c>
      <c r="C30" s="36">
        <v>0.0267993987363868</v>
      </c>
      <c r="D30" s="36">
        <v>0.0243504978331936</v>
      </c>
      <c r="E30" s="36">
        <v>3.52869884018921E-5</v>
      </c>
    </row>
    <row r="31">
      <c r="A31" s="26" t="s">
        <v>154</v>
      </c>
      <c r="B31" s="26">
        <v>142.0</v>
      </c>
      <c r="C31" s="36">
        <v>0.0380620355833284</v>
      </c>
      <c r="D31" s="36">
        <v>0.00580591636198448</v>
      </c>
      <c r="E31" s="36">
        <v>0.380594007653753</v>
      </c>
    </row>
    <row r="32">
      <c r="A32" s="26" t="s">
        <v>105</v>
      </c>
      <c r="B32" s="26">
        <v>178.0</v>
      </c>
      <c r="C32" s="36">
        <v>-0.0459209714743601</v>
      </c>
      <c r="D32" s="36">
        <v>-0.0581708133669077</v>
      </c>
      <c r="E32" s="36">
        <v>3.63083467282611E-21</v>
      </c>
    </row>
    <row r="33">
      <c r="A33" s="26" t="s">
        <v>138</v>
      </c>
      <c r="B33" s="26">
        <v>280.0</v>
      </c>
      <c r="C33" s="36">
        <v>0.0812862508247923</v>
      </c>
      <c r="D33" s="36">
        <v>0.0571659873956998</v>
      </c>
      <c r="E33" s="36">
        <v>9.53632008295798E-26</v>
      </c>
    </row>
    <row r="34">
      <c r="A34" s="26" t="s">
        <v>77</v>
      </c>
      <c r="B34" s="26">
        <v>243.0</v>
      </c>
      <c r="C34" s="36">
        <v>0.0369425507687198</v>
      </c>
      <c r="D34" s="36">
        <v>0.0184770940673645</v>
      </c>
      <c r="E34" s="36">
        <v>1.65833701907283E-5</v>
      </c>
    </row>
    <row r="35">
      <c r="A35" s="26" t="s">
        <v>48</v>
      </c>
      <c r="B35" s="26">
        <v>190.0</v>
      </c>
      <c r="C35" s="36">
        <v>0.0065812209793125</v>
      </c>
      <c r="D35" s="36">
        <v>-0.0139203505658688</v>
      </c>
      <c r="E35" s="36">
        <v>0.00483419976904217</v>
      </c>
    </row>
    <row r="36">
      <c r="A36" s="26" t="s">
        <v>108</v>
      </c>
      <c r="B36" s="26">
        <v>219.0</v>
      </c>
      <c r="C36" s="36">
        <v>-0.00957384676542829</v>
      </c>
      <c r="D36" s="36">
        <v>-0.0149449555271574</v>
      </c>
      <c r="E36" s="36">
        <v>8.53652052214946E-4</v>
      </c>
    </row>
    <row r="37">
      <c r="A37" s="26" t="s">
        <v>187</v>
      </c>
      <c r="B37" s="26">
        <v>128.0</v>
      </c>
      <c r="C37" s="36">
        <v>-0.0430224526600192</v>
      </c>
      <c r="D37" s="36">
        <v>-0.0419458507358046</v>
      </c>
      <c r="E37" s="36">
        <v>9.7745888543804E-12</v>
      </c>
    </row>
    <row r="38">
      <c r="A38" s="26" t="s">
        <v>96</v>
      </c>
      <c r="B38" s="26">
        <v>168.0</v>
      </c>
      <c r="C38" s="36">
        <v>0.0168000365627124</v>
      </c>
      <c r="D38" s="36">
        <v>-0.0032581763069551</v>
      </c>
      <c r="E38" s="36">
        <v>0.51240807224106</v>
      </c>
    </row>
    <row r="39">
      <c r="A39" s="26" t="s">
        <v>137</v>
      </c>
      <c r="B39" s="26">
        <v>154.0</v>
      </c>
      <c r="C39" s="36">
        <v>0.0102472649632432</v>
      </c>
      <c r="D39" s="36">
        <v>-0.0153771778189614</v>
      </c>
      <c r="E39" s="36">
        <v>0.00943975791792012</v>
      </c>
    </row>
    <row r="40">
      <c r="A40" s="26" t="s">
        <v>119</v>
      </c>
      <c r="B40" s="26">
        <v>324.0</v>
      </c>
      <c r="C40" s="36">
        <v>-0.0393722897404673</v>
      </c>
      <c r="D40" s="36">
        <v>-0.0470704729749839</v>
      </c>
      <c r="E40" s="36">
        <v>2.2587859551876E-27</v>
      </c>
    </row>
    <row r="41">
      <c r="A41" s="26" t="s">
        <v>125</v>
      </c>
      <c r="B41" s="26">
        <v>173.0</v>
      </c>
      <c r="C41" s="36">
        <v>-0.0165180049308177</v>
      </c>
      <c r="D41" s="36">
        <v>-0.0555368324206802</v>
      </c>
      <c r="E41" s="36">
        <v>2.0251451439735E-18</v>
      </c>
    </row>
    <row r="42">
      <c r="A42" s="26" t="s">
        <v>183</v>
      </c>
      <c r="B42" s="26">
        <v>109.0</v>
      </c>
      <c r="C42" s="36">
        <v>-0.0636374123666911</v>
      </c>
      <c r="D42" s="36">
        <v>-0.0977574859510695</v>
      </c>
      <c r="E42" s="36">
        <v>2.738630168354E-24</v>
      </c>
    </row>
    <row r="43">
      <c r="A43" s="26" t="s">
        <v>129</v>
      </c>
      <c r="B43" s="26">
        <v>132.0</v>
      </c>
      <c r="C43" s="36">
        <v>-0.0153737074262228</v>
      </c>
      <c r="D43" s="36">
        <v>-0.0555675393149559</v>
      </c>
      <c r="E43" s="36">
        <v>3.58210330158606E-13</v>
      </c>
    </row>
    <row r="44">
      <c r="A44" s="26" t="s">
        <v>179</v>
      </c>
      <c r="B44" s="26">
        <v>202.0</v>
      </c>
      <c r="C44" s="36">
        <v>-0.025396319264889</v>
      </c>
      <c r="D44" s="36">
        <v>-0.040583218622392</v>
      </c>
      <c r="E44" s="36">
        <v>4.44265849334359E-16</v>
      </c>
    </row>
    <row r="45">
      <c r="A45" s="26" t="s">
        <v>26</v>
      </c>
      <c r="B45" s="26">
        <v>124.0</v>
      </c>
      <c r="C45" s="36">
        <v>0.0304479311353043</v>
      </c>
      <c r="D45" s="36">
        <v>-0.00103555932095183</v>
      </c>
      <c r="E45" s="36">
        <v>0.857718118203808</v>
      </c>
    </row>
    <row r="46">
      <c r="A46" s="26" t="s">
        <v>176</v>
      </c>
      <c r="B46" s="26">
        <v>235.0</v>
      </c>
      <c r="C46" s="36">
        <v>-0.0205357839220237</v>
      </c>
      <c r="D46" s="36">
        <v>-0.0428316097902346</v>
      </c>
      <c r="E46" s="36">
        <v>6.29658543974686E-17</v>
      </c>
    </row>
    <row r="47">
      <c r="A47" s="26" t="s">
        <v>164</v>
      </c>
      <c r="B47" s="26">
        <v>260.0</v>
      </c>
      <c r="C47" s="36">
        <v>-0.021409707097478</v>
      </c>
      <c r="D47" s="36">
        <v>-0.0444856378805733</v>
      </c>
      <c r="E47" s="36">
        <v>3.37864012489217E-16</v>
      </c>
    </row>
    <row r="48">
      <c r="A48" s="26" t="s">
        <v>168</v>
      </c>
      <c r="B48" s="26">
        <v>272.0</v>
      </c>
      <c r="C48" s="36">
        <v>-0.012228505329066</v>
      </c>
      <c r="D48" s="36">
        <v>-0.0494388027188437</v>
      </c>
      <c r="E48" s="36">
        <v>4.15214733427227E-21</v>
      </c>
    </row>
    <row r="49">
      <c r="A49" s="26" t="s">
        <v>72</v>
      </c>
      <c r="B49" s="26">
        <v>295.0</v>
      </c>
      <c r="C49" s="36">
        <v>0.0852666377329139</v>
      </c>
      <c r="D49" s="36">
        <v>0.0311929662573559</v>
      </c>
      <c r="E49" s="36">
        <v>4.35691539495644E-11</v>
      </c>
    </row>
    <row r="50">
      <c r="A50" s="26" t="s">
        <v>60</v>
      </c>
      <c r="B50" s="26">
        <v>304.0</v>
      </c>
      <c r="C50" s="36">
        <v>0.0104531279584278</v>
      </c>
      <c r="D50" s="36">
        <v>-0.0175943349835527</v>
      </c>
      <c r="E50" s="36">
        <v>1.27655592067035E-5</v>
      </c>
    </row>
    <row r="51">
      <c r="A51" s="26" t="s">
        <v>84</v>
      </c>
      <c r="B51" s="26">
        <v>258.0</v>
      </c>
      <c r="C51" s="36">
        <v>0.0706515884250157</v>
      </c>
      <c r="D51" s="36">
        <v>0.0200618746227866</v>
      </c>
      <c r="E51" s="36">
        <v>5.42291267268881E-6</v>
      </c>
    </row>
    <row r="52">
      <c r="A52" s="26" t="s">
        <v>42</v>
      </c>
      <c r="B52" s="26">
        <v>175.0</v>
      </c>
      <c r="C52" s="36">
        <v>0.0507449230751784</v>
      </c>
      <c r="D52" s="36">
        <v>0.0484180006142137</v>
      </c>
      <c r="E52" s="36">
        <v>2.50805584545647E-15</v>
      </c>
    </row>
    <row r="53">
      <c r="A53" s="26" t="s">
        <v>150</v>
      </c>
      <c r="B53" s="26">
        <v>110.0</v>
      </c>
      <c r="C53" s="36">
        <v>0.0174225712865938</v>
      </c>
      <c r="D53" s="36">
        <v>-0.00485553818565109</v>
      </c>
      <c r="E53" s="36">
        <v>0.478561550215403</v>
      </c>
    </row>
    <row r="54">
      <c r="A54" s="26" t="s">
        <v>83</v>
      </c>
      <c r="B54" s="26">
        <v>176.0</v>
      </c>
      <c r="C54" s="36">
        <v>0.0528350211516495</v>
      </c>
      <c r="D54" s="36">
        <v>0.0218629462514884</v>
      </c>
      <c r="E54" s="36">
        <v>5.78105777290561E-5</v>
      </c>
    </row>
    <row r="55">
      <c r="A55" s="26" t="s">
        <v>94</v>
      </c>
      <c r="B55" s="26">
        <v>109.0</v>
      </c>
      <c r="C55" s="36">
        <v>0.00448206054577829</v>
      </c>
      <c r="D55" s="36">
        <v>-0.0179519231234535</v>
      </c>
      <c r="E55" s="36">
        <v>0.00551493887813501</v>
      </c>
    </row>
    <row r="56">
      <c r="A56" s="26" t="s">
        <v>106</v>
      </c>
      <c r="B56" s="26">
        <v>281.0</v>
      </c>
      <c r="C56" s="36">
        <v>0.0155629748538527</v>
      </c>
      <c r="D56" s="36">
        <v>-0.00831893102829261</v>
      </c>
      <c r="E56" s="36">
        <v>0.0332733649595716</v>
      </c>
    </row>
    <row r="57">
      <c r="A57" s="26" t="s">
        <v>135</v>
      </c>
      <c r="B57" s="26">
        <v>213.0</v>
      </c>
      <c r="C57" s="36">
        <v>-0.0388562746546257</v>
      </c>
      <c r="D57" s="36">
        <v>-0.042426005249205</v>
      </c>
      <c r="E57" s="36">
        <v>1.1030261062403E-18</v>
      </c>
    </row>
    <row r="58">
      <c r="A58" s="26" t="s">
        <v>181</v>
      </c>
      <c r="B58" s="26">
        <v>359.0</v>
      </c>
      <c r="C58" s="36">
        <v>-0.0205096932008592</v>
      </c>
      <c r="D58" s="36">
        <v>-0.0516661685447693</v>
      </c>
      <c r="E58" s="36">
        <v>5.7801036801702E-29</v>
      </c>
    </row>
    <row r="59">
      <c r="A59" s="26" t="s">
        <v>114</v>
      </c>
      <c r="B59" s="26">
        <v>263.0</v>
      </c>
      <c r="C59" s="36">
        <v>-0.0289330259092866</v>
      </c>
      <c r="D59" s="36">
        <v>-0.0340995858292281</v>
      </c>
      <c r="E59" s="36">
        <v>1.90288574432175E-13</v>
      </c>
    </row>
    <row r="60">
      <c r="A60" s="26" t="s">
        <v>152</v>
      </c>
      <c r="B60" s="26">
        <v>139.0</v>
      </c>
      <c r="C60" s="36">
        <v>-0.0217965538732811</v>
      </c>
      <c r="D60" s="36">
        <v>-0.0533398006139574</v>
      </c>
      <c r="E60" s="36">
        <v>3.71949234609284E-14</v>
      </c>
    </row>
    <row r="61">
      <c r="A61" s="26" t="s">
        <v>180</v>
      </c>
      <c r="B61" s="26">
        <v>95.0</v>
      </c>
      <c r="C61" s="36">
        <v>-0.0513914570899874</v>
      </c>
      <c r="D61" s="36">
        <v>-0.0569433541020768</v>
      </c>
      <c r="E61" s="36">
        <v>5.16133826955459E-12</v>
      </c>
    </row>
    <row r="62">
      <c r="A62" s="26" t="s">
        <v>149</v>
      </c>
      <c r="B62" s="26">
        <v>171.0</v>
      </c>
      <c r="C62" s="36">
        <v>0.0181800071213357</v>
      </c>
      <c r="D62" s="36">
        <v>0.00329263582674325</v>
      </c>
      <c r="E62" s="36">
        <v>0.498983145261739</v>
      </c>
    </row>
    <row r="63">
      <c r="A63" s="26" t="s">
        <v>14</v>
      </c>
      <c r="B63" s="26">
        <v>175.0</v>
      </c>
      <c r="C63" s="36">
        <v>0.0586831356069918</v>
      </c>
      <c r="D63" s="36">
        <v>0.0449356722993557</v>
      </c>
      <c r="E63" s="36">
        <v>5.46912352968203E-14</v>
      </c>
    </row>
    <row r="64">
      <c r="A64" s="26" t="s">
        <v>104</v>
      </c>
      <c r="B64" s="26">
        <v>218.0</v>
      </c>
      <c r="C64" s="36">
        <v>0.00879084554183666</v>
      </c>
      <c r="D64" s="36">
        <v>0.00932128312834103</v>
      </c>
      <c r="E64" s="36">
        <v>0.0184433748057857</v>
      </c>
    </row>
    <row r="65">
      <c r="A65" s="26" t="s">
        <v>103</v>
      </c>
      <c r="B65" s="26">
        <v>125.0</v>
      </c>
      <c r="C65" s="36">
        <v>-0.0334172056458733</v>
      </c>
      <c r="D65" s="36">
        <v>-0.0541944446794531</v>
      </c>
      <c r="E65" s="36">
        <v>3.05112781427301E-15</v>
      </c>
    </row>
    <row r="66">
      <c r="A66" s="26" t="s">
        <v>78</v>
      </c>
      <c r="B66" s="26">
        <v>202.0</v>
      </c>
      <c r="C66" s="36">
        <v>-0.017335845028493</v>
      </c>
      <c r="D66" s="36">
        <v>-0.0226205444764624</v>
      </c>
      <c r="E66" s="36">
        <v>6.20133409408646E-6</v>
      </c>
    </row>
    <row r="67">
      <c r="A67" s="26" t="s">
        <v>32</v>
      </c>
      <c r="B67" s="26">
        <v>139.0</v>
      </c>
      <c r="C67" s="36">
        <v>0.0218174651085871</v>
      </c>
      <c r="D67" s="36">
        <v>0.0021247141981427</v>
      </c>
      <c r="E67" s="36">
        <v>0.704569649349595</v>
      </c>
    </row>
    <row r="68">
      <c r="A68" s="26" t="s">
        <v>86</v>
      </c>
      <c r="B68" s="26">
        <v>154.0</v>
      </c>
      <c r="C68" s="36">
        <v>-0.008195342002922</v>
      </c>
      <c r="D68" s="36">
        <v>-0.0265797750804251</v>
      </c>
      <c r="E68" s="36">
        <v>1.55472777847008E-6</v>
      </c>
    </row>
    <row r="69">
      <c r="A69" s="26" t="s">
        <v>121</v>
      </c>
      <c r="B69" s="26">
        <v>118.0</v>
      </c>
      <c r="C69" s="36">
        <v>-0.0353625052439615</v>
      </c>
      <c r="D69" s="36">
        <v>-0.0706356524354034</v>
      </c>
      <c r="E69" s="36">
        <v>1.06908599728074E-19</v>
      </c>
    </row>
    <row r="70">
      <c r="A70" s="26" t="s">
        <v>102</v>
      </c>
      <c r="B70" s="26">
        <v>143.0</v>
      </c>
      <c r="C70" s="36">
        <v>0.00416516550314857</v>
      </c>
      <c r="D70" s="36">
        <v>-0.0269246056528748</v>
      </c>
      <c r="E70" s="36">
        <v>7.21427679822807E-6</v>
      </c>
    </row>
    <row r="71">
      <c r="A71" s="26" t="s">
        <v>52</v>
      </c>
      <c r="B71" s="26">
        <v>176.0</v>
      </c>
      <c r="C71" s="36">
        <v>0.0359309898656292</v>
      </c>
      <c r="D71" s="36">
        <v>0.015412712610954</v>
      </c>
      <c r="E71" s="36">
        <v>0.00358205262771702</v>
      </c>
    </row>
    <row r="72">
      <c r="A72" s="26" t="s">
        <v>134</v>
      </c>
      <c r="B72" s="26">
        <v>184.0</v>
      </c>
      <c r="C72" s="36">
        <v>-0.0529151892222371</v>
      </c>
      <c r="D72" s="36">
        <v>-0.0622131065554257</v>
      </c>
      <c r="E72" s="36">
        <v>7.55611425079828E-22</v>
      </c>
    </row>
    <row r="73">
      <c r="A73" s="26" t="s">
        <v>172</v>
      </c>
      <c r="B73" s="26">
        <v>235.0</v>
      </c>
      <c r="C73" s="36">
        <v>0.0130147397214913</v>
      </c>
      <c r="D73" s="36">
        <v>0.00636137372440899</v>
      </c>
      <c r="E73" s="36">
        <v>0.146107578767204</v>
      </c>
    </row>
    <row r="74">
      <c r="A74" s="26" t="s">
        <v>155</v>
      </c>
      <c r="B74" s="26">
        <v>209.0</v>
      </c>
      <c r="C74" s="36">
        <v>-0.0275311976180019</v>
      </c>
      <c r="D74" s="36">
        <v>-0.063548790995802</v>
      </c>
      <c r="E74" s="36">
        <v>6.49732496192343E-28</v>
      </c>
    </row>
    <row r="75">
      <c r="A75" s="26" t="s">
        <v>38</v>
      </c>
      <c r="B75" s="26">
        <v>141.0</v>
      </c>
      <c r="C75" s="36">
        <v>0.0114690869562076</v>
      </c>
      <c r="D75" s="36">
        <v>-9.46779905902968E-4</v>
      </c>
      <c r="E75" s="36">
        <v>0.873739128955408</v>
      </c>
    </row>
    <row r="76">
      <c r="A76" s="26" t="s">
        <v>141</v>
      </c>
      <c r="B76" s="26">
        <v>137.0</v>
      </c>
      <c r="C76" s="36">
        <v>0.0302471476658666</v>
      </c>
      <c r="D76" s="36">
        <v>0.0143820301890622</v>
      </c>
      <c r="E76" s="36">
        <v>0.00816106464973049</v>
      </c>
    </row>
    <row r="77">
      <c r="A77" s="26" t="s">
        <v>85</v>
      </c>
      <c r="B77" s="26">
        <v>305.0</v>
      </c>
      <c r="C77" s="36">
        <v>0.0514434334964845</v>
      </c>
      <c r="D77" s="36">
        <v>0.0335382541461377</v>
      </c>
      <c r="E77" s="36">
        <v>4.86520265384588E-16</v>
      </c>
    </row>
    <row r="78">
      <c r="A78" s="26" t="s">
        <v>90</v>
      </c>
      <c r="B78" s="26">
        <v>102.0</v>
      </c>
      <c r="C78" s="36">
        <v>0.0308105989569127</v>
      </c>
      <c r="D78" s="36">
        <v>0.011012309393552</v>
      </c>
      <c r="E78" s="36">
        <v>0.0650893786396665</v>
      </c>
    </row>
    <row r="79">
      <c r="A79" s="26" t="s">
        <v>98</v>
      </c>
      <c r="B79" s="26">
        <v>224.0</v>
      </c>
      <c r="C79" s="36">
        <v>-0.0313756233939736</v>
      </c>
      <c r="D79" s="36">
        <v>-0.0572625635479877</v>
      </c>
      <c r="E79" s="36">
        <v>1.10565002392485E-20</v>
      </c>
    </row>
    <row r="80">
      <c r="A80" s="26" t="s">
        <v>76</v>
      </c>
      <c r="B80" s="26">
        <v>330.0</v>
      </c>
      <c r="C80" s="36">
        <v>0.0353724166659387</v>
      </c>
      <c r="D80" s="36">
        <v>0.0113237119727884</v>
      </c>
      <c r="E80" s="36">
        <v>0.00187254858784134</v>
      </c>
    </row>
    <row r="81">
      <c r="A81" s="26" t="s">
        <v>161</v>
      </c>
      <c r="B81" s="26">
        <v>132.0</v>
      </c>
      <c r="C81" s="36">
        <v>-0.0344012778244109</v>
      </c>
      <c r="D81" s="36">
        <v>-0.0646089656908052</v>
      </c>
      <c r="E81" s="36">
        <v>1.12935141302433E-15</v>
      </c>
    </row>
    <row r="82">
      <c r="A82" s="26" t="s">
        <v>92</v>
      </c>
      <c r="B82" s="26">
        <v>113.0</v>
      </c>
      <c r="C82" s="36">
        <v>-0.134915462146806</v>
      </c>
      <c r="D82" s="36">
        <v>-0.14224564910791</v>
      </c>
      <c r="E82" s="36">
        <v>5.42767952456183E-40</v>
      </c>
    </row>
    <row r="83">
      <c r="A83" s="26" t="s">
        <v>162</v>
      </c>
      <c r="B83" s="26">
        <v>172.0</v>
      </c>
      <c r="C83" s="36">
        <v>-0.0392525819525615</v>
      </c>
      <c r="D83" s="36">
        <v>-0.0728011890154348</v>
      </c>
      <c r="E83" s="36">
        <v>1.80384303356876E-27</v>
      </c>
    </row>
    <row r="84">
      <c r="A84" s="26" t="s">
        <v>177</v>
      </c>
      <c r="B84" s="26">
        <v>263.0</v>
      </c>
      <c r="C84" s="36">
        <v>0.0102161367949917</v>
      </c>
      <c r="D84" s="36">
        <v>-0.00363901901545291</v>
      </c>
      <c r="E84" s="36">
        <v>0.347038994099203</v>
      </c>
    </row>
    <row r="85">
      <c r="A85" s="26" t="s">
        <v>89</v>
      </c>
      <c r="B85" s="26">
        <v>182.0</v>
      </c>
      <c r="C85" s="36">
        <v>-0.0114631078178664</v>
      </c>
      <c r="D85" s="36">
        <v>-0.0503460245995289</v>
      </c>
      <c r="E85" s="36">
        <v>6.54363111016539E-16</v>
      </c>
    </row>
    <row r="86">
      <c r="A86" s="26" t="s">
        <v>143</v>
      </c>
      <c r="B86" s="26">
        <v>123.0</v>
      </c>
      <c r="C86" s="36">
        <v>0.0117943859064948</v>
      </c>
      <c r="D86" s="36">
        <v>-0.0202428515758777</v>
      </c>
      <c r="E86" s="36">
        <v>0.00159634824544213</v>
      </c>
    </row>
    <row r="87">
      <c r="A87" s="26" t="s">
        <v>34</v>
      </c>
      <c r="B87" s="26">
        <v>125.0</v>
      </c>
      <c r="C87" s="36">
        <v>-0.0255850255593072</v>
      </c>
      <c r="D87" s="36">
        <v>-0.044096102265061</v>
      </c>
      <c r="E87" s="36">
        <v>8.43105766725757E-10</v>
      </c>
    </row>
    <row r="88">
      <c r="A88" s="26" t="s">
        <v>36</v>
      </c>
      <c r="B88" s="26">
        <v>214.0</v>
      </c>
      <c r="C88" s="36">
        <v>-0.00191197311572263</v>
      </c>
      <c r="D88" s="36">
        <v>-0.00196670073386126</v>
      </c>
      <c r="E88" s="36">
        <v>0.698488507507433</v>
      </c>
    </row>
    <row r="89">
      <c r="A89" s="26" t="s">
        <v>16</v>
      </c>
      <c r="B89" s="26">
        <v>140.0</v>
      </c>
      <c r="C89" s="36">
        <v>5.4615281227569E-4</v>
      </c>
      <c r="D89" s="36">
        <v>-0.0141991396629052</v>
      </c>
      <c r="E89" s="36">
        <v>0.0157936363699928</v>
      </c>
    </row>
    <row r="90">
      <c r="A90" s="26" t="s">
        <v>144</v>
      </c>
      <c r="B90" s="26">
        <v>193.0</v>
      </c>
      <c r="C90" s="36">
        <v>0.0521564024239231</v>
      </c>
      <c r="D90" s="36">
        <v>0.0220492625784913</v>
      </c>
      <c r="E90" s="36">
        <v>2.45725152590158E-5</v>
      </c>
    </row>
    <row r="91">
      <c r="A91" s="26" t="s">
        <v>44</v>
      </c>
      <c r="B91" s="26">
        <v>182.0</v>
      </c>
      <c r="C91" s="36">
        <v>0.0218864697963155</v>
      </c>
      <c r="D91" s="36">
        <v>0.00524008056355135</v>
      </c>
      <c r="E91" s="36">
        <v>0.279920318412129</v>
      </c>
    </row>
    <row r="92">
      <c r="A92" s="26" t="s">
        <v>63</v>
      </c>
      <c r="B92" s="26">
        <v>168.0</v>
      </c>
      <c r="C92" s="36">
        <v>5.12495942974484E-4</v>
      </c>
      <c r="D92" s="36">
        <v>-0.0242419658135337</v>
      </c>
      <c r="E92" s="36">
        <v>3.23431271912143E-5</v>
      </c>
    </row>
    <row r="93">
      <c r="A93" s="26" t="s">
        <v>97</v>
      </c>
      <c r="B93" s="26">
        <v>312.0</v>
      </c>
      <c r="C93" s="36">
        <v>0.0236852142874883</v>
      </c>
      <c r="D93" s="36">
        <v>0.00387352181155008</v>
      </c>
      <c r="E93" s="36">
        <v>0.348593835717507</v>
      </c>
    </row>
    <row r="94">
      <c r="A94" s="26" t="s">
        <v>158</v>
      </c>
      <c r="B94" s="26">
        <v>189.0</v>
      </c>
      <c r="C94" s="36">
        <v>-0.0182063692258329</v>
      </c>
      <c r="D94" s="36">
        <v>-0.0269100239457141</v>
      </c>
      <c r="E94" s="36">
        <v>4.49756526561714E-9</v>
      </c>
    </row>
    <row r="95">
      <c r="A95" s="26" t="s">
        <v>156</v>
      </c>
      <c r="B95" s="26">
        <v>128.0</v>
      </c>
      <c r="C95" s="36">
        <v>-0.0177674540448449</v>
      </c>
      <c r="D95" s="36">
        <v>-0.0560502338763424</v>
      </c>
      <c r="E95" s="36">
        <v>4.34057381380703E-15</v>
      </c>
    </row>
    <row r="96">
      <c r="A96" s="26" t="s">
        <v>117</v>
      </c>
      <c r="B96" s="26">
        <v>133.0</v>
      </c>
      <c r="C96" s="36">
        <v>-0.0194670924557113</v>
      </c>
      <c r="D96" s="36">
        <v>-0.0328937491215939</v>
      </c>
      <c r="E96" s="36">
        <v>1.6489320564927E-7</v>
      </c>
    </row>
    <row r="97">
      <c r="A97" s="26" t="s">
        <v>136</v>
      </c>
      <c r="B97" s="26">
        <v>317.0</v>
      </c>
      <c r="C97" s="36">
        <v>0.0102274613850912</v>
      </c>
      <c r="D97" s="36">
        <v>-0.0115968904161313</v>
      </c>
      <c r="E97" s="36">
        <v>0.00211563930921042</v>
      </c>
    </row>
    <row r="98">
      <c r="A98" s="26" t="s">
        <v>169</v>
      </c>
      <c r="B98" s="26">
        <v>111.0</v>
      </c>
      <c r="C98" s="36">
        <v>-0.0620330212137564</v>
      </c>
      <c r="D98" s="36">
        <v>-0.0915985710227386</v>
      </c>
      <c r="E98" s="36">
        <v>2.72922274363424E-28</v>
      </c>
    </row>
    <row r="99">
      <c r="A99" s="26" t="s">
        <v>146</v>
      </c>
      <c r="B99" s="26">
        <v>242.0</v>
      </c>
      <c r="C99" s="36">
        <v>0.0186563522048959</v>
      </c>
      <c r="D99" s="36">
        <v>-0.0183959682212955</v>
      </c>
      <c r="E99" s="36">
        <v>4.80580431735081E-4</v>
      </c>
    </row>
    <row r="100">
      <c r="A100" s="26" t="s">
        <v>91</v>
      </c>
      <c r="B100" s="26">
        <v>451.0</v>
      </c>
      <c r="C100" s="36">
        <v>0.00597335108209905</v>
      </c>
      <c r="D100" s="36">
        <v>-0.0264100590884431</v>
      </c>
      <c r="E100" s="36">
        <v>4.37495983068356E-14</v>
      </c>
    </row>
    <row r="101">
      <c r="A101" s="26" t="s">
        <v>131</v>
      </c>
      <c r="B101" s="26">
        <v>209.0</v>
      </c>
      <c r="C101" s="36">
        <v>0.00338614631018032</v>
      </c>
      <c r="D101" s="36">
        <v>-0.0233983258435868</v>
      </c>
      <c r="E101" s="36">
        <v>4.53825344843467E-6</v>
      </c>
    </row>
    <row r="102">
      <c r="A102" s="26" t="s">
        <v>95</v>
      </c>
      <c r="B102" s="26">
        <v>189.0</v>
      </c>
      <c r="C102" s="36">
        <v>0.0132084280772682</v>
      </c>
      <c r="D102" s="36">
        <v>-0.0184699521937278</v>
      </c>
      <c r="E102" s="36">
        <v>2.01629948759435E-5</v>
      </c>
    </row>
    <row r="103">
      <c r="A103" s="26" t="s">
        <v>142</v>
      </c>
      <c r="B103" s="26">
        <v>300.0</v>
      </c>
      <c r="C103" s="36">
        <v>-0.0252690383841477</v>
      </c>
      <c r="D103" s="36">
        <v>-0.0470540522715892</v>
      </c>
      <c r="E103" s="36">
        <v>2.36466023203793E-23</v>
      </c>
    </row>
    <row r="104">
      <c r="A104" s="26" t="s">
        <v>50</v>
      </c>
      <c r="B104" s="26">
        <v>189.0</v>
      </c>
      <c r="C104" s="36">
        <v>0.100315210706835</v>
      </c>
      <c r="D104" s="36">
        <v>0.0690129774701857</v>
      </c>
      <c r="E104" s="36">
        <v>1.42324918083796E-24</v>
      </c>
    </row>
    <row r="105">
      <c r="A105" s="26" t="s">
        <v>178</v>
      </c>
      <c r="B105" s="26">
        <v>230.0</v>
      </c>
      <c r="C105" s="36">
        <v>-0.0461674914702042</v>
      </c>
      <c r="D105" s="36">
        <v>-0.0564156711817676</v>
      </c>
      <c r="E105" s="36">
        <v>1.56582916553518E-25</v>
      </c>
    </row>
    <row r="106">
      <c r="A106" s="26" t="s">
        <v>120</v>
      </c>
      <c r="B106" s="26">
        <v>123.0</v>
      </c>
      <c r="C106" s="36">
        <v>-0.0445090861271648</v>
      </c>
      <c r="D106" s="36">
        <v>-0.0623966465411789</v>
      </c>
      <c r="E106" s="36">
        <v>1.71720374252393E-19</v>
      </c>
    </row>
    <row r="107">
      <c r="A107" s="26" t="s">
        <v>88</v>
      </c>
      <c r="B107" s="26">
        <v>245.0</v>
      </c>
      <c r="C107" s="36">
        <v>-0.00281740254720828</v>
      </c>
      <c r="D107" s="36">
        <v>-0.00922830334984491</v>
      </c>
      <c r="E107" s="36">
        <v>0.0651470977103338</v>
      </c>
    </row>
    <row r="108">
      <c r="A108" s="26" t="s">
        <v>151</v>
      </c>
      <c r="B108" s="26">
        <v>142.0</v>
      </c>
      <c r="C108" s="36">
        <v>-0.0494132590759226</v>
      </c>
      <c r="D108" s="36">
        <v>-0.0726980882645331</v>
      </c>
      <c r="E108" s="36">
        <v>6.17986163057364E-23</v>
      </c>
    </row>
    <row r="109">
      <c r="A109" s="26" t="s">
        <v>167</v>
      </c>
      <c r="B109" s="26">
        <v>206.0</v>
      </c>
      <c r="C109" s="36">
        <v>-0.0266220606688278</v>
      </c>
      <c r="D109" s="36">
        <v>-0.0470829494296794</v>
      </c>
      <c r="E109" s="36">
        <v>2.97071871336688E-17</v>
      </c>
    </row>
    <row r="110">
      <c r="A110" s="26" t="s">
        <v>28</v>
      </c>
      <c r="B110" s="26">
        <v>127.0</v>
      </c>
      <c r="C110" s="36">
        <v>0.0213856263698222</v>
      </c>
      <c r="D110" s="36">
        <v>-0.0196681716308799</v>
      </c>
      <c r="E110" s="36">
        <v>6.98590745167885E-4</v>
      </c>
    </row>
    <row r="111">
      <c r="A111" s="26" t="s">
        <v>70</v>
      </c>
      <c r="B111" s="26">
        <v>218.0</v>
      </c>
      <c r="C111" s="36">
        <v>0.00285514361517052</v>
      </c>
      <c r="D111" s="36">
        <v>-0.0169057815397915</v>
      </c>
      <c r="E111" s="36">
        <v>1.36724202439658E-4</v>
      </c>
    </row>
    <row r="112">
      <c r="A112" s="26" t="s">
        <v>20</v>
      </c>
      <c r="B112" s="26">
        <v>198.0</v>
      </c>
      <c r="C112" s="36">
        <v>0.0156490790661168</v>
      </c>
      <c r="D112" s="36">
        <v>0.0036427924877699</v>
      </c>
      <c r="E112" s="36">
        <v>0.424759492080406</v>
      </c>
    </row>
    <row r="113">
      <c r="A113" s="26" t="s">
        <v>71</v>
      </c>
      <c r="B113" s="26">
        <v>187.0</v>
      </c>
      <c r="C113" s="36">
        <v>0.0244574185363428</v>
      </c>
      <c r="D113" s="36">
        <v>0.00933010377749221</v>
      </c>
      <c r="E113" s="36">
        <v>0.0947557597390993</v>
      </c>
    </row>
    <row r="114">
      <c r="A114" s="26" t="s">
        <v>67</v>
      </c>
      <c r="B114" s="26">
        <v>131.0</v>
      </c>
      <c r="C114" s="36">
        <v>0.0089378466406113</v>
      </c>
      <c r="D114" s="36">
        <v>-0.00719738967771851</v>
      </c>
      <c r="E114" s="36">
        <v>0.206813407260191</v>
      </c>
    </row>
    <row r="115">
      <c r="A115" s="26" t="s">
        <v>148</v>
      </c>
      <c r="B115" s="26">
        <v>206.0</v>
      </c>
      <c r="C115" s="36">
        <v>-0.0635217633978603</v>
      </c>
      <c r="D115" s="36">
        <v>-0.0784986749005246</v>
      </c>
      <c r="E115" s="36">
        <v>1.50603720419791E-30</v>
      </c>
    </row>
    <row r="116">
      <c r="A116" s="26" t="s">
        <v>81</v>
      </c>
      <c r="B116" s="26">
        <v>284.0</v>
      </c>
      <c r="C116" s="36">
        <v>0.0243846936082284</v>
      </c>
      <c r="D116" s="36">
        <v>0.0115495601359807</v>
      </c>
      <c r="E116" s="36">
        <v>0.00618669685228915</v>
      </c>
    </row>
    <row r="117">
      <c r="A117" s="26" t="s">
        <v>40</v>
      </c>
      <c r="B117" s="26">
        <v>165.0</v>
      </c>
      <c r="C117" s="36">
        <v>0.00648668169480257</v>
      </c>
      <c r="D117" s="36">
        <v>-0.0153707328958437</v>
      </c>
      <c r="E117" s="36">
        <v>0.00350692968918298</v>
      </c>
    </row>
    <row r="118">
      <c r="A118" s="26" t="s">
        <v>110</v>
      </c>
      <c r="B118" s="26">
        <v>186.0</v>
      </c>
      <c r="C118" s="36">
        <v>0.0133036722771668</v>
      </c>
      <c r="D118" s="36">
        <v>0.00583367607607205</v>
      </c>
      <c r="E118" s="36">
        <v>0.218561331795606</v>
      </c>
    </row>
    <row r="119">
      <c r="A119" s="26" t="s">
        <v>166</v>
      </c>
      <c r="B119" s="26">
        <v>289.0</v>
      </c>
      <c r="C119" s="36">
        <v>-0.0571488200088702</v>
      </c>
      <c r="D119" s="36">
        <v>-0.0710632030113465</v>
      </c>
      <c r="E119" s="36">
        <v>5.68001624351122E-33</v>
      </c>
    </row>
    <row r="120">
      <c r="A120" s="26" t="s">
        <v>99</v>
      </c>
      <c r="B120" s="26">
        <v>117.0</v>
      </c>
      <c r="C120" s="36">
        <v>-0.0205305606179168</v>
      </c>
      <c r="D120" s="36">
        <v>-0.0295758381882195</v>
      </c>
      <c r="E120" s="36">
        <v>1.25009934461491E-5</v>
      </c>
    </row>
    <row r="121">
      <c r="A121" s="26" t="s">
        <v>73</v>
      </c>
      <c r="B121" s="26">
        <v>313.0</v>
      </c>
      <c r="C121" s="36">
        <v>-0.0376973828274222</v>
      </c>
      <c r="D121" s="36">
        <v>-0.070361054812905</v>
      </c>
      <c r="E121" s="36">
        <v>1.33012412698844E-31</v>
      </c>
    </row>
    <row r="122">
      <c r="A122" s="26" t="s">
        <v>116</v>
      </c>
      <c r="B122" s="26">
        <v>289.0</v>
      </c>
      <c r="C122" s="36">
        <v>0.0150478457727203</v>
      </c>
      <c r="D122" s="36">
        <v>-0.0245963177746791</v>
      </c>
      <c r="E122" s="36">
        <v>1.02919058802159E-9</v>
      </c>
    </row>
    <row r="123">
      <c r="A123" s="26" t="s">
        <v>82</v>
      </c>
      <c r="B123" s="26">
        <v>181.0</v>
      </c>
      <c r="C123" s="36">
        <v>-0.00194487806516036</v>
      </c>
      <c r="D123" s="36">
        <v>-0.0349411659798222</v>
      </c>
      <c r="E123" s="36">
        <v>5.38309091680554E-12</v>
      </c>
    </row>
    <row r="124">
      <c r="A124" s="26" t="s">
        <v>190</v>
      </c>
      <c r="B124" s="26">
        <v>82.0</v>
      </c>
      <c r="C124" s="36">
        <v>-0.049005526871273</v>
      </c>
      <c r="D124" s="36">
        <v>-0.0724214596429093</v>
      </c>
      <c r="E124" s="36">
        <v>2.99587830970171E-14</v>
      </c>
    </row>
    <row r="125">
      <c r="A125" s="26" t="s">
        <v>132</v>
      </c>
      <c r="B125" s="26">
        <v>186.0</v>
      </c>
      <c r="C125" s="36">
        <v>-0.00612186759248591</v>
      </c>
      <c r="D125" s="36">
        <v>-0.0429130771904276</v>
      </c>
      <c r="E125" s="36">
        <v>2.97263058010515E-12</v>
      </c>
    </row>
    <row r="126">
      <c r="A126" s="26" t="s">
        <v>79</v>
      </c>
      <c r="B126" s="26">
        <v>219.0</v>
      </c>
      <c r="C126" s="36">
        <v>0.0070170298970801</v>
      </c>
      <c r="D126" s="36">
        <v>-0.0188189995252915</v>
      </c>
      <c r="E126" s="36">
        <v>1.44750258270151E-4</v>
      </c>
    </row>
    <row r="127">
      <c r="A127" s="26" t="s">
        <v>101</v>
      </c>
      <c r="B127" s="26">
        <v>178.0</v>
      </c>
      <c r="C127" s="36">
        <v>0.010039763094678</v>
      </c>
      <c r="D127" s="36">
        <v>0.00110941526035149</v>
      </c>
      <c r="E127" s="36">
        <v>0.834691601234766</v>
      </c>
    </row>
    <row r="128">
      <c r="A128" s="26" t="s">
        <v>123</v>
      </c>
      <c r="B128" s="26">
        <v>186.0</v>
      </c>
      <c r="C128" s="36">
        <v>-0.00934201313178785</v>
      </c>
      <c r="D128" s="36">
        <v>-0.0359727543245568</v>
      </c>
      <c r="E128" s="36">
        <v>2.23866842258392E-9</v>
      </c>
    </row>
    <row r="129">
      <c r="A129" s="26" t="s">
        <v>46</v>
      </c>
      <c r="B129" s="26">
        <v>182.0</v>
      </c>
      <c r="C129" s="36">
        <v>-0.0160599906824954</v>
      </c>
      <c r="D129" s="36">
        <v>-0.0125140333194588</v>
      </c>
      <c r="E129" s="36">
        <v>0.010142464534032</v>
      </c>
    </row>
    <row r="130">
      <c r="A130" s="26" t="s">
        <v>18</v>
      </c>
      <c r="B130" s="26">
        <v>139.0</v>
      </c>
      <c r="C130" s="36">
        <v>-0.0151840414377807</v>
      </c>
      <c r="D130" s="36">
        <v>-0.0228206470525904</v>
      </c>
      <c r="E130" s="36">
        <v>2.81375749742702E-5</v>
      </c>
    </row>
    <row r="131">
      <c r="A131" s="26" t="s">
        <v>153</v>
      </c>
      <c r="B131" s="26">
        <v>98.0</v>
      </c>
      <c r="C131" s="36">
        <v>-0.105193854777762</v>
      </c>
      <c r="D131" s="36">
        <v>-0.0779123641852864</v>
      </c>
      <c r="E131" s="36">
        <v>1.1944113780801E-17</v>
      </c>
    </row>
    <row r="132">
      <c r="A132" s="26" t="s">
        <v>165</v>
      </c>
      <c r="B132" s="26">
        <v>320.0</v>
      </c>
      <c r="C132" s="36">
        <v>0.0421028050245891</v>
      </c>
      <c r="D132" s="36">
        <v>-0.0418190261224576</v>
      </c>
      <c r="E132" s="36">
        <v>1.23095184521544E-16</v>
      </c>
    </row>
    <row r="133">
      <c r="A133" s="26" t="s">
        <v>157</v>
      </c>
      <c r="B133" s="26">
        <v>182.0</v>
      </c>
      <c r="C133" s="36">
        <v>0.0651763152547</v>
      </c>
      <c r="D133" s="36">
        <v>0.0202987353207875</v>
      </c>
      <c r="E133" s="36">
        <v>5.31357187110082E-5</v>
      </c>
    </row>
    <row r="134">
      <c r="A134" s="26" t="s">
        <v>188</v>
      </c>
      <c r="B134" s="26">
        <v>75.0</v>
      </c>
      <c r="C134" s="36">
        <v>-0.0891756211873198</v>
      </c>
      <c r="D134" s="36">
        <v>-0.122886080296467</v>
      </c>
      <c r="E134" s="36">
        <v>7.16096162121774E-31</v>
      </c>
    </row>
    <row r="135">
      <c r="A135" s="26" t="s">
        <v>182</v>
      </c>
      <c r="B135" s="26">
        <v>115.0</v>
      </c>
      <c r="C135" s="36">
        <v>-0.0851341879352988</v>
      </c>
      <c r="D135" s="36">
        <v>-0.130679809784895</v>
      </c>
      <c r="E135" s="36">
        <v>1.9250578355015E-38</v>
      </c>
    </row>
    <row r="136">
      <c r="A136" s="26" t="s">
        <v>175</v>
      </c>
      <c r="B136" s="26">
        <v>242.0</v>
      </c>
      <c r="C136" s="36">
        <v>0.0253660597139127</v>
      </c>
      <c r="D136" s="36">
        <v>-0.0297006142274587</v>
      </c>
      <c r="E136" s="36">
        <v>8.67788649188988E-10</v>
      </c>
    </row>
    <row r="137">
      <c r="A137" s="26" t="s">
        <v>66</v>
      </c>
      <c r="B137" s="26">
        <v>332.0</v>
      </c>
      <c r="C137" s="36">
        <v>0.0811235930164677</v>
      </c>
      <c r="D137" s="36">
        <v>0.0278484584709749</v>
      </c>
      <c r="E137" s="36">
        <v>3.754806509739E-14</v>
      </c>
    </row>
    <row r="138">
      <c r="A138" s="26" t="s">
        <v>22</v>
      </c>
      <c r="B138" s="26">
        <v>203.0</v>
      </c>
      <c r="C138" s="36">
        <v>0.0242832692246342</v>
      </c>
      <c r="D138" s="36">
        <v>0.0106965911518608</v>
      </c>
      <c r="E138" s="36">
        <v>0.0194660969294049</v>
      </c>
    </row>
    <row r="139">
      <c r="A139" s="26" t="s">
        <v>65</v>
      </c>
      <c r="B139" s="26">
        <v>263.0</v>
      </c>
      <c r="C139" s="36">
        <v>0.0128922878759006</v>
      </c>
      <c r="D139" s="36">
        <v>-0.0178652733720793</v>
      </c>
      <c r="E139" s="36">
        <v>3.0903396410978E-5</v>
      </c>
    </row>
    <row r="140">
      <c r="A140" s="26" t="s">
        <v>113</v>
      </c>
      <c r="B140" s="26">
        <v>216.0</v>
      </c>
      <c r="C140" s="36">
        <v>0.00519087601171263</v>
      </c>
      <c r="D140" s="36">
        <v>-0.0273200794214243</v>
      </c>
      <c r="E140" s="36">
        <v>1.22101205581717E-7</v>
      </c>
    </row>
    <row r="141">
      <c r="A141" s="26" t="s">
        <v>93</v>
      </c>
      <c r="B141" s="26">
        <v>138.0</v>
      </c>
      <c r="C141" s="36">
        <v>0.0875702889062151</v>
      </c>
      <c r="D141" s="36">
        <v>0.0704006232651582</v>
      </c>
      <c r="E141" s="36">
        <v>1.36768225864935E-23</v>
      </c>
    </row>
    <row r="142">
      <c r="A142" s="26" t="s">
        <v>128</v>
      </c>
      <c r="B142" s="26">
        <v>343.0</v>
      </c>
      <c r="C142" s="36">
        <v>0.00299013912101536</v>
      </c>
      <c r="D142" s="36">
        <v>-0.0124501223843767</v>
      </c>
      <c r="E142" s="36">
        <v>3.30671203099793E-4</v>
      </c>
    </row>
    <row r="143">
      <c r="A143" s="26" t="s">
        <v>115</v>
      </c>
      <c r="B143" s="26">
        <v>112.0</v>
      </c>
      <c r="C143" s="36">
        <v>0.0150195303243948</v>
      </c>
      <c r="D143" s="36">
        <v>-0.00476510246909974</v>
      </c>
      <c r="E143" s="36">
        <v>0.47708187691047</v>
      </c>
    </row>
    <row r="144">
      <c r="A144" s="26" t="s">
        <v>24</v>
      </c>
      <c r="B144" s="26">
        <v>258.0</v>
      </c>
      <c r="C144" s="36">
        <v>0.0841315518975699</v>
      </c>
      <c r="D144" s="36">
        <v>0.0240080457602917</v>
      </c>
      <c r="E144" s="36">
        <v>2.7004465061597E-6</v>
      </c>
    </row>
    <row r="145">
      <c r="A145" s="26" t="s">
        <v>56</v>
      </c>
      <c r="B145" s="26">
        <v>165.0</v>
      </c>
      <c r="C145" s="36">
        <v>0.0517636254560486</v>
      </c>
      <c r="D145" s="36">
        <v>0.00849371857283594</v>
      </c>
      <c r="E145" s="36">
        <v>0.0941953996647125</v>
      </c>
    </row>
    <row r="146">
      <c r="A146" s="26" t="s">
        <v>68</v>
      </c>
      <c r="B146" s="26">
        <v>233.0</v>
      </c>
      <c r="C146" s="36">
        <v>0.0589333361399234</v>
      </c>
      <c r="D146" s="36">
        <v>-0.010542487612019</v>
      </c>
      <c r="E146" s="36">
        <v>0.00933633925931336</v>
      </c>
    </row>
    <row r="147">
      <c r="A147" s="26" t="s">
        <v>87</v>
      </c>
      <c r="B147" s="26">
        <v>302.0</v>
      </c>
      <c r="C147" s="36">
        <v>0.0392204635492574</v>
      </c>
      <c r="D147" s="36">
        <v>-0.0233180134880665</v>
      </c>
      <c r="E147" s="36">
        <v>1.02339100297063E-6</v>
      </c>
    </row>
    <row r="148">
      <c r="A148" s="26" t="s">
        <v>122</v>
      </c>
      <c r="B148" s="26">
        <v>240.0</v>
      </c>
      <c r="C148" s="36">
        <v>-0.0108735606686993</v>
      </c>
      <c r="D148" s="36">
        <v>-0.0503787336297803</v>
      </c>
      <c r="E148" s="36">
        <v>4.27297887495158E-21</v>
      </c>
    </row>
    <row r="149">
      <c r="A149" s="26" t="s">
        <v>54</v>
      </c>
      <c r="B149" s="26">
        <v>275.0</v>
      </c>
      <c r="C149" s="36">
        <v>0.0266142083617738</v>
      </c>
      <c r="D149" s="36">
        <v>0.00756225427524258</v>
      </c>
      <c r="E149" s="36">
        <v>0.0558235790969012</v>
      </c>
    </row>
    <row r="150">
      <c r="A150" s="26" t="s">
        <v>58</v>
      </c>
      <c r="B150" s="26">
        <v>194.0</v>
      </c>
      <c r="C150" s="36">
        <v>-0.0202366658046274</v>
      </c>
      <c r="D150" s="36">
        <v>-0.041902452378502</v>
      </c>
      <c r="E150" s="36">
        <v>5.1313216996105E-12</v>
      </c>
    </row>
    <row r="151">
      <c r="A151" s="26" t="s">
        <v>111</v>
      </c>
      <c r="B151" s="26">
        <v>177.0</v>
      </c>
      <c r="C151" s="36">
        <v>-0.0517116082356291</v>
      </c>
      <c r="D151" s="36">
        <v>-0.0486095692909524</v>
      </c>
      <c r="E151" s="36">
        <v>9.65277170384964E-15</v>
      </c>
    </row>
    <row r="152">
      <c r="A152" s="26" t="s">
        <v>62</v>
      </c>
      <c r="B152" s="26">
        <v>290.0</v>
      </c>
      <c r="C152" s="36">
        <v>0.0238679359985944</v>
      </c>
      <c r="D152" s="36">
        <v>0.00911352001044312</v>
      </c>
      <c r="E152" s="36">
        <v>0.0278454080127397</v>
      </c>
    </row>
    <row r="153">
      <c r="A153" s="26" t="s">
        <v>189</v>
      </c>
      <c r="B153" s="26">
        <v>111.0</v>
      </c>
      <c r="C153" s="36">
        <v>-0.0353511019390944</v>
      </c>
      <c r="D153" s="36">
        <v>-0.0656299979119783</v>
      </c>
      <c r="E153" s="36">
        <v>3.81067768146929E-20</v>
      </c>
    </row>
    <row r="154">
      <c r="A154" s="26" t="s">
        <v>184</v>
      </c>
      <c r="B154" s="26">
        <v>126.0</v>
      </c>
      <c r="C154" s="36">
        <v>0.00597950618646992</v>
      </c>
      <c r="D154" s="36">
        <v>-0.00563016497316268</v>
      </c>
      <c r="E154" s="36">
        <v>0.309292965547886</v>
      </c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  <row r="1001">
      <c r="C1001" s="13"/>
      <c r="D1001" s="13"/>
      <c r="E1001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27" t="s">
        <v>0</v>
      </c>
      <c r="B1" s="27" t="s">
        <v>209</v>
      </c>
      <c r="C1" s="27" t="s">
        <v>210</v>
      </c>
      <c r="D1" s="27" t="s">
        <v>211</v>
      </c>
      <c r="E1" s="27" t="s">
        <v>212</v>
      </c>
    </row>
    <row r="2">
      <c r="A2" s="26" t="s">
        <v>133</v>
      </c>
      <c r="B2" s="26">
        <v>128.0</v>
      </c>
      <c r="C2" s="36">
        <v>0.0518887802300338</v>
      </c>
      <c r="D2" s="36">
        <v>0.0316369272180196</v>
      </c>
      <c r="E2" s="36">
        <v>2.90959365290186E-6</v>
      </c>
    </row>
    <row r="3">
      <c r="A3" s="26" t="s">
        <v>171</v>
      </c>
      <c r="B3" s="26">
        <v>38.0</v>
      </c>
      <c r="C3" s="36">
        <v>-0.0286932622364323</v>
      </c>
      <c r="D3" s="36">
        <v>-0.0430760195691964</v>
      </c>
      <c r="E3" s="36">
        <v>0.00215196820881698</v>
      </c>
    </row>
    <row r="4">
      <c r="A4" s="26" t="s">
        <v>30</v>
      </c>
      <c r="B4" s="26">
        <v>147.0</v>
      </c>
      <c r="C4" s="36">
        <v>0.0375760746251404</v>
      </c>
      <c r="D4" s="36">
        <v>0.0109559132968023</v>
      </c>
      <c r="E4" s="36">
        <v>0.100145032190651</v>
      </c>
    </row>
    <row r="5">
      <c r="A5" s="26" t="s">
        <v>69</v>
      </c>
      <c r="B5" s="26">
        <v>84.0</v>
      </c>
      <c r="C5" s="36">
        <v>-0.0393006005463437</v>
      </c>
      <c r="D5" s="36">
        <v>-0.071097901479184</v>
      </c>
      <c r="E5" s="36">
        <v>1.02254707460684E-15</v>
      </c>
    </row>
    <row r="6">
      <c r="A6" s="26" t="s">
        <v>186</v>
      </c>
      <c r="B6" s="26">
        <v>44.0</v>
      </c>
      <c r="C6" s="36">
        <v>-0.0385732340342232</v>
      </c>
      <c r="D6" s="36">
        <v>-0.0422869589572893</v>
      </c>
      <c r="E6" s="36">
        <v>1.303380069319E-6</v>
      </c>
    </row>
    <row r="7">
      <c r="A7" s="26" t="s">
        <v>174</v>
      </c>
      <c r="B7" s="26">
        <v>56.0</v>
      </c>
      <c r="C7" s="36">
        <v>-0.0379410678577734</v>
      </c>
      <c r="D7" s="36">
        <v>-0.0584404277851797</v>
      </c>
      <c r="E7" s="36">
        <v>3.79163600697435E-10</v>
      </c>
    </row>
    <row r="8">
      <c r="A8" s="26" t="s">
        <v>159</v>
      </c>
      <c r="B8" s="26">
        <v>44.0</v>
      </c>
      <c r="C8" s="36">
        <v>0.0063015744352358</v>
      </c>
      <c r="D8" s="36">
        <v>-0.00333219816656102</v>
      </c>
      <c r="E8" s="36">
        <v>0.763858099312811</v>
      </c>
    </row>
    <row r="9">
      <c r="A9" s="26" t="s">
        <v>126</v>
      </c>
      <c r="B9" s="26">
        <v>120.0</v>
      </c>
      <c r="C9" s="36">
        <v>-0.00808788114523266</v>
      </c>
      <c r="D9" s="36">
        <v>-0.0400711806874511</v>
      </c>
      <c r="E9" s="36">
        <v>1.25237880377481E-10</v>
      </c>
    </row>
    <row r="10">
      <c r="A10" s="26" t="s">
        <v>112</v>
      </c>
      <c r="B10" s="26">
        <v>37.0</v>
      </c>
      <c r="C10" s="36">
        <v>0.139622133444797</v>
      </c>
      <c r="D10" s="36">
        <v>0.147128609865002</v>
      </c>
      <c r="E10" s="36">
        <v>1.40083756237323E-22</v>
      </c>
    </row>
    <row r="11">
      <c r="A11" s="26" t="s">
        <v>185</v>
      </c>
      <c r="B11" s="26">
        <v>100.0</v>
      </c>
      <c r="C11" s="36">
        <v>-0.0457765385369522</v>
      </c>
      <c r="D11" s="36">
        <v>-0.0761213119308216</v>
      </c>
      <c r="E11" s="36">
        <v>1.78391407176361E-18</v>
      </c>
    </row>
    <row r="12">
      <c r="A12" s="26" t="s">
        <v>170</v>
      </c>
      <c r="B12" s="26">
        <v>76.0</v>
      </c>
      <c r="C12" s="36">
        <v>-0.0485458923263374</v>
      </c>
      <c r="D12" s="36">
        <v>-0.0719890534176635</v>
      </c>
      <c r="E12" s="36">
        <v>7.00132714896076E-15</v>
      </c>
    </row>
    <row r="13">
      <c r="A13" s="26" t="s">
        <v>173</v>
      </c>
      <c r="B13" s="26">
        <v>126.0</v>
      </c>
      <c r="C13" s="36">
        <v>-0.0285130441736254</v>
      </c>
      <c r="D13" s="36">
        <v>-0.0621711736152217</v>
      </c>
      <c r="E13" s="36">
        <v>2.57819779669319E-15</v>
      </c>
    </row>
    <row r="14">
      <c r="A14" s="26" t="s">
        <v>107</v>
      </c>
      <c r="B14" s="26">
        <v>135.0</v>
      </c>
      <c r="C14" s="36">
        <v>0.0753724687232987</v>
      </c>
      <c r="D14" s="36">
        <v>0.0463919546417588</v>
      </c>
      <c r="E14" s="36">
        <v>4.19137654189059E-12</v>
      </c>
    </row>
    <row r="15">
      <c r="A15" s="26" t="s">
        <v>139</v>
      </c>
      <c r="B15" s="26">
        <v>111.0</v>
      </c>
      <c r="C15" s="36">
        <v>-0.0161925851088361</v>
      </c>
      <c r="D15" s="36">
        <v>-0.0597974546157536</v>
      </c>
      <c r="E15" s="36">
        <v>1.98553067549977E-13</v>
      </c>
    </row>
    <row r="16">
      <c r="A16" s="26" t="s">
        <v>64</v>
      </c>
      <c r="B16" s="26">
        <v>150.0</v>
      </c>
      <c r="C16" s="36">
        <v>-0.0380253259841601</v>
      </c>
      <c r="D16" s="36">
        <v>-0.062409135376066</v>
      </c>
      <c r="E16" s="36">
        <v>6.90208451830059E-23</v>
      </c>
    </row>
    <row r="17">
      <c r="A17" s="26" t="s">
        <v>100</v>
      </c>
      <c r="B17" s="26">
        <v>99.0</v>
      </c>
      <c r="C17" s="36">
        <v>-0.0279461224407064</v>
      </c>
      <c r="D17" s="36">
        <v>-0.0438305286406297</v>
      </c>
      <c r="E17" s="36">
        <v>3.27690188867489E-9</v>
      </c>
    </row>
    <row r="18">
      <c r="A18" s="26" t="s">
        <v>124</v>
      </c>
      <c r="B18" s="26">
        <v>91.0</v>
      </c>
      <c r="C18" s="36">
        <v>-0.0166717113294464</v>
      </c>
      <c r="D18" s="36">
        <v>-0.0356958588902459</v>
      </c>
      <c r="E18" s="36">
        <v>1.95225788908567E-5</v>
      </c>
    </row>
    <row r="19">
      <c r="A19" s="26" t="s">
        <v>145</v>
      </c>
      <c r="B19" s="26">
        <v>87.0</v>
      </c>
      <c r="C19" s="36">
        <v>0.0197520132082013</v>
      </c>
      <c r="D19" s="36">
        <v>-0.0118664452017528</v>
      </c>
      <c r="E19" s="36">
        <v>0.0871805021853451</v>
      </c>
    </row>
    <row r="20">
      <c r="A20" s="26" t="s">
        <v>80</v>
      </c>
      <c r="B20" s="26">
        <v>51.0</v>
      </c>
      <c r="C20" s="36">
        <v>-0.0750666428664935</v>
      </c>
      <c r="D20" s="36">
        <v>-0.0839948543746297</v>
      </c>
      <c r="E20" s="36">
        <v>9.65263176876182E-16</v>
      </c>
    </row>
    <row r="21">
      <c r="A21" s="26" t="s">
        <v>118</v>
      </c>
      <c r="B21" s="26">
        <v>173.0</v>
      </c>
      <c r="C21" s="36">
        <v>-0.0139977799714846</v>
      </c>
      <c r="D21" s="36">
        <v>-0.0159473592345799</v>
      </c>
      <c r="E21" s="36">
        <v>1.28867363671922E-4</v>
      </c>
    </row>
    <row r="22">
      <c r="A22" s="26" t="s">
        <v>75</v>
      </c>
      <c r="B22" s="26">
        <v>68.0</v>
      </c>
      <c r="C22" s="36">
        <v>-0.0667918868255957</v>
      </c>
      <c r="D22" s="36">
        <v>-0.0569999410674843</v>
      </c>
      <c r="E22" s="36">
        <v>1.15000433193516E-12</v>
      </c>
    </row>
    <row r="23">
      <c r="A23" s="26" t="s">
        <v>74</v>
      </c>
      <c r="B23" s="26">
        <v>35.0</v>
      </c>
      <c r="C23" s="36">
        <v>0.0132761661069581</v>
      </c>
      <c r="D23" s="36">
        <v>-0.00516728181925656</v>
      </c>
      <c r="E23" s="36">
        <v>0.695951551997988</v>
      </c>
    </row>
    <row r="24">
      <c r="A24" s="26" t="s">
        <v>140</v>
      </c>
      <c r="B24" s="26">
        <v>59.0</v>
      </c>
      <c r="C24" s="36">
        <v>-0.108554868281851</v>
      </c>
      <c r="D24" s="36">
        <v>-0.121252806917039</v>
      </c>
      <c r="E24" s="36">
        <v>7.29021616486504E-27</v>
      </c>
    </row>
    <row r="25">
      <c r="A25" s="26" t="s">
        <v>147</v>
      </c>
      <c r="B25" s="26">
        <v>43.0</v>
      </c>
      <c r="C25" s="36">
        <v>-0.00906769678783411</v>
      </c>
      <c r="D25" s="36">
        <v>-0.0294664556568458</v>
      </c>
      <c r="E25" s="36">
        <v>0.00743708700293807</v>
      </c>
    </row>
    <row r="26">
      <c r="A26" s="26" t="s">
        <v>130</v>
      </c>
      <c r="B26" s="26">
        <v>94.0</v>
      </c>
      <c r="C26" s="36">
        <v>0.0179835467343433</v>
      </c>
      <c r="D26" s="36">
        <v>-0.0182175002166132</v>
      </c>
      <c r="E26" s="36">
        <v>0.00948549463107173</v>
      </c>
    </row>
    <row r="27">
      <c r="A27" s="26" t="s">
        <v>163</v>
      </c>
      <c r="B27" s="26">
        <v>45.0</v>
      </c>
      <c r="C27" s="36">
        <v>-0.171598243715066</v>
      </c>
      <c r="D27" s="36">
        <v>-0.154541828447363</v>
      </c>
      <c r="E27" s="36">
        <v>2.90868980300438E-28</v>
      </c>
    </row>
    <row r="28">
      <c r="A28" s="26" t="s">
        <v>109</v>
      </c>
      <c r="B28" s="26">
        <v>93.0</v>
      </c>
      <c r="C28" s="36">
        <v>0.0684469534509939</v>
      </c>
      <c r="D28" s="36">
        <v>0.0442520925704203</v>
      </c>
      <c r="E28" s="36">
        <v>2.74401139830525E-7</v>
      </c>
    </row>
    <row r="29">
      <c r="A29" s="26" t="s">
        <v>127</v>
      </c>
      <c r="B29" s="26">
        <v>89.0</v>
      </c>
      <c r="C29" s="36">
        <v>-0.0160326635895069</v>
      </c>
      <c r="D29" s="36">
        <v>-0.0441829325559017</v>
      </c>
      <c r="E29" s="36">
        <v>7.18341299531042E-8</v>
      </c>
    </row>
    <row r="30">
      <c r="A30" s="26" t="s">
        <v>160</v>
      </c>
      <c r="B30" s="26">
        <v>53.0</v>
      </c>
      <c r="C30" s="36">
        <v>0.0888495074077184</v>
      </c>
      <c r="D30" s="36">
        <v>0.0955874205976312</v>
      </c>
      <c r="E30" s="36">
        <v>1.55330658515692E-18</v>
      </c>
    </row>
    <row r="31">
      <c r="A31" s="26" t="s">
        <v>154</v>
      </c>
      <c r="B31" s="26">
        <v>59.0</v>
      </c>
      <c r="C31" s="36">
        <v>-0.0574249289463144</v>
      </c>
      <c r="D31" s="36">
        <v>-0.0929049975122447</v>
      </c>
      <c r="E31" s="36">
        <v>2.16084174103756E-18</v>
      </c>
    </row>
    <row r="32">
      <c r="A32" s="26" t="s">
        <v>105</v>
      </c>
      <c r="B32" s="26">
        <v>64.0</v>
      </c>
      <c r="C32" s="36">
        <v>0.0188485946811785</v>
      </c>
      <c r="D32" s="36">
        <v>8.0755163638303E-4</v>
      </c>
      <c r="E32" s="36">
        <v>0.920395023226385</v>
      </c>
    </row>
    <row r="33">
      <c r="A33" s="26" t="s">
        <v>138</v>
      </c>
      <c r="B33" s="26">
        <v>157.0</v>
      </c>
      <c r="C33" s="36">
        <v>0.0603558175159475</v>
      </c>
      <c r="D33" s="36">
        <v>0.0321555023263582</v>
      </c>
      <c r="E33" s="36">
        <v>1.89149253597899E-7</v>
      </c>
    </row>
    <row r="34">
      <c r="A34" s="26" t="s">
        <v>77</v>
      </c>
      <c r="B34" s="26">
        <v>118.0</v>
      </c>
      <c r="C34" s="36">
        <v>0.0361606547068827</v>
      </c>
      <c r="D34" s="36">
        <v>0.0105235818517496</v>
      </c>
      <c r="E34" s="36">
        <v>0.130944884729983</v>
      </c>
    </row>
    <row r="35">
      <c r="A35" s="26" t="s">
        <v>48</v>
      </c>
      <c r="B35" s="26">
        <v>76.0</v>
      </c>
      <c r="C35" s="36">
        <v>-0.0147113862513413</v>
      </c>
      <c r="D35" s="36">
        <v>-0.042658580683985</v>
      </c>
      <c r="E35" s="36">
        <v>1.64707111085328E-6</v>
      </c>
    </row>
    <row r="36">
      <c r="A36" s="26" t="s">
        <v>108</v>
      </c>
      <c r="B36" s="26">
        <v>82.0</v>
      </c>
      <c r="C36" s="36">
        <v>0.00172503040751539</v>
      </c>
      <c r="D36" s="36">
        <v>-0.00979063526647613</v>
      </c>
      <c r="E36" s="36">
        <v>0.199214284697879</v>
      </c>
    </row>
    <row r="37">
      <c r="A37" s="26" t="s">
        <v>187</v>
      </c>
      <c r="B37" s="26">
        <v>49.0</v>
      </c>
      <c r="C37" s="36">
        <v>-0.0653426669570115</v>
      </c>
      <c r="D37" s="36">
        <v>-0.0659965524348993</v>
      </c>
      <c r="E37" s="36">
        <v>1.74065027397553E-11</v>
      </c>
    </row>
    <row r="38">
      <c r="A38" s="26" t="s">
        <v>96</v>
      </c>
      <c r="B38" s="26">
        <v>69.0</v>
      </c>
      <c r="C38" s="36">
        <v>0.0311611955881897</v>
      </c>
      <c r="D38" s="36">
        <v>0.0101674083532977</v>
      </c>
      <c r="E38" s="36">
        <v>0.255191011156754</v>
      </c>
    </row>
    <row r="39">
      <c r="A39" s="26" t="s">
        <v>137</v>
      </c>
      <c r="B39" s="26">
        <v>57.0</v>
      </c>
      <c r="C39" s="36">
        <v>0.0372665553173763</v>
      </c>
      <c r="D39" s="36">
        <v>0.00933645147108994</v>
      </c>
      <c r="E39" s="36">
        <v>0.350420516633555</v>
      </c>
    </row>
    <row r="40">
      <c r="A40" s="26" t="s">
        <v>119</v>
      </c>
      <c r="B40" s="26">
        <v>118.0</v>
      </c>
      <c r="C40" s="36">
        <v>-0.0712140383657147</v>
      </c>
      <c r="D40" s="36">
        <v>-0.085358830105597</v>
      </c>
      <c r="E40" s="36">
        <v>6.36143713879577E-32</v>
      </c>
    </row>
    <row r="41">
      <c r="A41" s="26" t="s">
        <v>125</v>
      </c>
      <c r="B41" s="26">
        <v>67.0</v>
      </c>
      <c r="C41" s="36">
        <v>-0.034317362985262</v>
      </c>
      <c r="D41" s="36">
        <v>-0.0762412561549426</v>
      </c>
      <c r="E41" s="36">
        <v>4.11601087045195E-14</v>
      </c>
    </row>
    <row r="42">
      <c r="A42" s="26" t="s">
        <v>183</v>
      </c>
      <c r="B42" s="26">
        <v>35.0</v>
      </c>
      <c r="C42" s="36">
        <v>-0.0986187436189671</v>
      </c>
      <c r="D42" s="36">
        <v>-0.121666247339403</v>
      </c>
      <c r="E42" s="36">
        <v>1.22484270475196E-18</v>
      </c>
    </row>
    <row r="43">
      <c r="A43" s="26" t="s">
        <v>129</v>
      </c>
      <c r="B43" s="26">
        <v>48.0</v>
      </c>
      <c r="C43" s="36">
        <v>0.0203365816296867</v>
      </c>
      <c r="D43" s="36">
        <v>-0.0156026540924937</v>
      </c>
      <c r="E43" s="36">
        <v>0.130240186377733</v>
      </c>
    </row>
    <row r="44">
      <c r="A44" s="26" t="s">
        <v>179</v>
      </c>
      <c r="B44" s="26">
        <v>70.0</v>
      </c>
      <c r="C44" s="36">
        <v>-0.0564800612460081</v>
      </c>
      <c r="D44" s="36">
        <v>-0.0786877580207164</v>
      </c>
      <c r="E44" s="36">
        <v>2.55940153141012E-17</v>
      </c>
    </row>
    <row r="45">
      <c r="A45" s="26" t="s">
        <v>26</v>
      </c>
      <c r="B45" s="26">
        <v>50.0</v>
      </c>
      <c r="C45" s="36">
        <v>0.0476097894127989</v>
      </c>
      <c r="D45" s="36">
        <v>0.0179790469217623</v>
      </c>
      <c r="E45" s="36">
        <v>0.0655129023876641</v>
      </c>
    </row>
    <row r="46">
      <c r="A46" s="26" t="s">
        <v>176</v>
      </c>
      <c r="B46" s="26">
        <v>93.0</v>
      </c>
      <c r="C46" s="36">
        <v>-0.119838165337244</v>
      </c>
      <c r="D46" s="36">
        <v>-0.151695939214764</v>
      </c>
      <c r="E46" s="36">
        <v>9.14924184464989E-40</v>
      </c>
    </row>
    <row r="47">
      <c r="A47" s="26" t="s">
        <v>164</v>
      </c>
      <c r="B47" s="26">
        <v>108.0</v>
      </c>
      <c r="C47" s="36">
        <v>-0.0535767688743157</v>
      </c>
      <c r="D47" s="36">
        <v>-0.0697710350579625</v>
      </c>
      <c r="E47" s="36">
        <v>2.10805103616251E-18</v>
      </c>
    </row>
    <row r="48">
      <c r="A48" s="26" t="s">
        <v>168</v>
      </c>
      <c r="B48" s="26">
        <v>125.0</v>
      </c>
      <c r="C48" s="36">
        <v>-0.06494623766932</v>
      </c>
      <c r="D48" s="36">
        <v>-0.105814730785222</v>
      </c>
      <c r="E48" s="36">
        <v>2.79166770558074E-31</v>
      </c>
    </row>
    <row r="49">
      <c r="A49" s="26" t="s">
        <v>72</v>
      </c>
      <c r="B49" s="26">
        <v>141.0</v>
      </c>
      <c r="C49" s="36">
        <v>0.0969540837513606</v>
      </c>
      <c r="D49" s="36">
        <v>0.0443915897566343</v>
      </c>
      <c r="E49" s="36">
        <v>9.20949671036192E-10</v>
      </c>
    </row>
    <row r="50">
      <c r="A50" s="26" t="s">
        <v>60</v>
      </c>
      <c r="B50" s="26">
        <v>139.0</v>
      </c>
      <c r="C50" s="36">
        <v>0.0128734868954666</v>
      </c>
      <c r="D50" s="36">
        <v>-0.0183598358964493</v>
      </c>
      <c r="E50" s="36">
        <v>0.00143173556459114</v>
      </c>
    </row>
    <row r="51">
      <c r="A51" s="26" t="s">
        <v>84</v>
      </c>
      <c r="B51" s="26">
        <v>112.0</v>
      </c>
      <c r="C51" s="36">
        <v>0.0582542466661317</v>
      </c>
      <c r="D51" s="36">
        <v>-7.96474357765226E-4</v>
      </c>
      <c r="E51" s="36">
        <v>0.914421361185635</v>
      </c>
    </row>
    <row r="52">
      <c r="A52" s="26" t="s">
        <v>42</v>
      </c>
      <c r="B52" s="26">
        <v>75.0</v>
      </c>
      <c r="C52" s="36">
        <v>0.0358244850427941</v>
      </c>
      <c r="D52" s="36">
        <v>0.0281589321346119</v>
      </c>
      <c r="E52" s="36">
        <v>4.55171722341839E-4</v>
      </c>
    </row>
    <row r="53">
      <c r="A53" s="26" t="s">
        <v>150</v>
      </c>
      <c r="B53" s="26">
        <v>43.0</v>
      </c>
      <c r="C53" s="36">
        <v>0.0128084327245129</v>
      </c>
      <c r="D53" s="36">
        <v>-0.0160252134745249</v>
      </c>
      <c r="E53" s="36">
        <v>0.16746125582603</v>
      </c>
    </row>
    <row r="54">
      <c r="A54" s="26" t="s">
        <v>83</v>
      </c>
      <c r="B54" s="26">
        <v>70.0</v>
      </c>
      <c r="C54" s="36">
        <v>0.0644125231549703</v>
      </c>
      <c r="D54" s="36">
        <v>0.0328617107530285</v>
      </c>
      <c r="E54" s="36">
        <v>7.10248133010327E-4</v>
      </c>
    </row>
    <row r="55">
      <c r="A55" s="26" t="s">
        <v>94</v>
      </c>
      <c r="B55" s="26">
        <v>38.0</v>
      </c>
      <c r="C55" s="36">
        <v>0.00846493624225602</v>
      </c>
      <c r="D55" s="36">
        <v>-0.0166503476951825</v>
      </c>
      <c r="E55" s="36">
        <v>0.11604120587047</v>
      </c>
    </row>
    <row r="56">
      <c r="A56" s="26" t="s">
        <v>106</v>
      </c>
      <c r="B56" s="26">
        <v>147.0</v>
      </c>
      <c r="C56" s="36">
        <v>0.0203007361203037</v>
      </c>
      <c r="D56" s="36">
        <v>-0.0011206625370133</v>
      </c>
      <c r="E56" s="36">
        <v>0.848782547434919</v>
      </c>
    </row>
    <row r="57">
      <c r="A57" s="26" t="s">
        <v>135</v>
      </c>
      <c r="B57" s="26">
        <v>78.0</v>
      </c>
      <c r="C57" s="36">
        <v>0.0504868250058303</v>
      </c>
      <c r="D57" s="36">
        <v>0.0489166765946473</v>
      </c>
      <c r="E57" s="36">
        <v>5.73086002282081E-10</v>
      </c>
    </row>
    <row r="58">
      <c r="A58" s="26" t="s">
        <v>181</v>
      </c>
      <c r="B58" s="26">
        <v>155.0</v>
      </c>
      <c r="C58" s="36">
        <v>-0.00108689020803589</v>
      </c>
      <c r="D58" s="36">
        <v>-0.035823720840088</v>
      </c>
      <c r="E58" s="36">
        <v>3.04245567860766E-8</v>
      </c>
    </row>
    <row r="59">
      <c r="A59" s="26" t="s">
        <v>114</v>
      </c>
      <c r="B59" s="26">
        <v>100.0</v>
      </c>
      <c r="C59" s="36">
        <v>-0.0247161936139536</v>
      </c>
      <c r="D59" s="36">
        <v>-0.0297248081629944</v>
      </c>
      <c r="E59" s="36">
        <v>3.01787586393642E-5</v>
      </c>
    </row>
    <row r="60">
      <c r="A60" s="26" t="s">
        <v>152</v>
      </c>
      <c r="B60" s="26">
        <v>48.0</v>
      </c>
      <c r="C60" s="36">
        <v>0.0293018851270547</v>
      </c>
      <c r="D60" s="36">
        <v>0.0065969444625504</v>
      </c>
      <c r="E60" s="36">
        <v>0.543341565641212</v>
      </c>
    </row>
    <row r="61">
      <c r="A61" s="26" t="s">
        <v>180</v>
      </c>
      <c r="B61" s="26">
        <v>35.0</v>
      </c>
      <c r="C61" s="36">
        <v>-0.169356098967466</v>
      </c>
      <c r="D61" s="36">
        <v>-0.175871347269304</v>
      </c>
      <c r="E61" s="36">
        <v>1.03202425048102E-23</v>
      </c>
    </row>
    <row r="62">
      <c r="A62" s="26" t="s">
        <v>149</v>
      </c>
      <c r="B62" s="26">
        <v>69.0</v>
      </c>
      <c r="C62" s="36">
        <v>-0.0010814424846243</v>
      </c>
      <c r="D62" s="36">
        <v>-0.00112116299884662</v>
      </c>
      <c r="E62" s="36">
        <v>0.898235003464089</v>
      </c>
    </row>
    <row r="63">
      <c r="A63" s="26" t="s">
        <v>14</v>
      </c>
      <c r="B63" s="26">
        <v>73.0</v>
      </c>
      <c r="C63" s="36">
        <v>0.0240436349510288</v>
      </c>
      <c r="D63" s="36">
        <v>0.00910990017756205</v>
      </c>
      <c r="E63" s="36">
        <v>0.296581596757462</v>
      </c>
    </row>
    <row r="64">
      <c r="A64" s="26" t="s">
        <v>104</v>
      </c>
      <c r="B64" s="26">
        <v>85.0</v>
      </c>
      <c r="C64" s="36">
        <v>-0.0141761638958545</v>
      </c>
      <c r="D64" s="36">
        <v>-0.00946434443074675</v>
      </c>
      <c r="E64" s="36">
        <v>0.20295632388547</v>
      </c>
    </row>
    <row r="65">
      <c r="A65" s="26" t="s">
        <v>103</v>
      </c>
      <c r="B65" s="26">
        <v>40.0</v>
      </c>
      <c r="C65" s="36">
        <v>0.0800084399010828</v>
      </c>
      <c r="D65" s="36">
        <v>0.0736242930719471</v>
      </c>
      <c r="E65" s="36">
        <v>6.86508687818104E-12</v>
      </c>
    </row>
    <row r="66">
      <c r="A66" s="26" t="s">
        <v>78</v>
      </c>
      <c r="B66" s="26">
        <v>69.0</v>
      </c>
      <c r="C66" s="36">
        <v>-0.0462798156023832</v>
      </c>
      <c r="D66" s="36">
        <v>-0.0524501724718109</v>
      </c>
      <c r="E66" s="36">
        <v>1.35055578067591E-9</v>
      </c>
    </row>
    <row r="67">
      <c r="A67" s="26" t="s">
        <v>32</v>
      </c>
      <c r="B67" s="26">
        <v>52.0</v>
      </c>
      <c r="C67" s="36">
        <v>-0.00944098219913311</v>
      </c>
      <c r="D67" s="36">
        <v>-0.0166454082930914</v>
      </c>
      <c r="E67" s="36">
        <v>0.070562916800443</v>
      </c>
    </row>
    <row r="68">
      <c r="A68" s="26" t="s">
        <v>86</v>
      </c>
      <c r="B68" s="26">
        <v>52.0</v>
      </c>
      <c r="C68" s="36">
        <v>-0.0156554276578519</v>
      </c>
      <c r="D68" s="36">
        <v>-0.0338541644589506</v>
      </c>
      <c r="E68" s="36">
        <v>2.63809037550308E-4</v>
      </c>
    </row>
    <row r="69">
      <c r="A69" s="26" t="s">
        <v>121</v>
      </c>
      <c r="B69" s="26">
        <v>39.0</v>
      </c>
      <c r="C69" s="36">
        <v>-0.0141161635838628</v>
      </c>
      <c r="D69" s="36">
        <v>-0.049352393097372</v>
      </c>
      <c r="E69" s="36">
        <v>3.10636650990048E-6</v>
      </c>
    </row>
    <row r="70">
      <c r="A70" s="26" t="s">
        <v>102</v>
      </c>
      <c r="B70" s="26">
        <v>55.0</v>
      </c>
      <c r="C70" s="36">
        <v>-0.0546089102554204</v>
      </c>
      <c r="D70" s="36">
        <v>-0.0719258026070369</v>
      </c>
      <c r="E70" s="36">
        <v>9.35880678829819E-11</v>
      </c>
    </row>
    <row r="71">
      <c r="A71" s="26" t="s">
        <v>52</v>
      </c>
      <c r="B71" s="26">
        <v>71.0</v>
      </c>
      <c r="C71" s="36">
        <v>0.0562354804518451</v>
      </c>
      <c r="D71" s="36">
        <v>0.0350680472062392</v>
      </c>
      <c r="E71" s="36">
        <v>3.1214286794209E-5</v>
      </c>
    </row>
    <row r="72">
      <c r="A72" s="26" t="s">
        <v>134</v>
      </c>
      <c r="B72" s="26">
        <v>65.0</v>
      </c>
      <c r="C72" s="36">
        <v>-0.0738526613987502</v>
      </c>
      <c r="D72" s="36">
        <v>-0.0741928858327271</v>
      </c>
      <c r="E72" s="36">
        <v>1.88552238113761E-12</v>
      </c>
    </row>
    <row r="73">
      <c r="A73" s="26" t="s">
        <v>172</v>
      </c>
      <c r="B73" s="26">
        <v>115.0</v>
      </c>
      <c r="C73" s="36">
        <v>0.0378972196287384</v>
      </c>
      <c r="D73" s="36">
        <v>0.0337125388668879</v>
      </c>
      <c r="E73" s="36">
        <v>8.2061645302429E-7</v>
      </c>
    </row>
    <row r="74">
      <c r="A74" s="26" t="s">
        <v>155</v>
      </c>
      <c r="B74" s="26">
        <v>80.0</v>
      </c>
      <c r="C74" s="36">
        <v>-0.126192017456437</v>
      </c>
      <c r="D74" s="36">
        <v>-0.161402090537282</v>
      </c>
      <c r="E74" s="36">
        <v>1.45246244564665E-35</v>
      </c>
    </row>
    <row r="75">
      <c r="A75" s="26" t="s">
        <v>38</v>
      </c>
      <c r="B75" s="26">
        <v>54.0</v>
      </c>
      <c r="C75" s="36">
        <v>0.0564986818892601</v>
      </c>
      <c r="D75" s="36">
        <v>0.0424418027638626</v>
      </c>
      <c r="E75" s="36">
        <v>2.56989409383208E-4</v>
      </c>
    </row>
    <row r="76">
      <c r="A76" s="26" t="s">
        <v>141</v>
      </c>
      <c r="B76" s="26">
        <v>56.0</v>
      </c>
      <c r="C76" s="36">
        <v>0.109736533757511</v>
      </c>
      <c r="D76" s="36">
        <v>0.102499044439568</v>
      </c>
      <c r="E76" s="36">
        <v>3.52348475798495E-16</v>
      </c>
    </row>
    <row r="77">
      <c r="A77" s="26" t="s">
        <v>85</v>
      </c>
      <c r="B77" s="26">
        <v>141.0</v>
      </c>
      <c r="C77" s="36">
        <v>0.0791786618959812</v>
      </c>
      <c r="D77" s="36">
        <v>0.0639679894549831</v>
      </c>
      <c r="E77" s="36">
        <v>1.46242666607199E-18</v>
      </c>
    </row>
    <row r="78">
      <c r="A78" s="26" t="s">
        <v>90</v>
      </c>
      <c r="B78" s="26">
        <v>39.0</v>
      </c>
      <c r="C78" s="36">
        <v>-0.031809032585025</v>
      </c>
      <c r="D78" s="36">
        <v>-0.0553004292779169</v>
      </c>
      <c r="E78" s="36">
        <v>1.56654588574021E-6</v>
      </c>
    </row>
    <row r="79">
      <c r="A79" s="26" t="s">
        <v>98</v>
      </c>
      <c r="B79" s="26">
        <v>95.0</v>
      </c>
      <c r="C79" s="36">
        <v>-0.0995265968566564</v>
      </c>
      <c r="D79" s="36">
        <v>-0.129707469047988</v>
      </c>
      <c r="E79" s="36">
        <v>4.03351713696621E-36</v>
      </c>
    </row>
    <row r="80">
      <c r="A80" s="26" t="s">
        <v>76</v>
      </c>
      <c r="B80" s="26">
        <v>168.0</v>
      </c>
      <c r="C80" s="36">
        <v>0.0614216982587771</v>
      </c>
      <c r="D80" s="36">
        <v>0.0323839984640255</v>
      </c>
      <c r="E80" s="36">
        <v>5.76104270770125E-8</v>
      </c>
    </row>
    <row r="81">
      <c r="A81" s="26" t="s">
        <v>161</v>
      </c>
      <c r="B81" s="26">
        <v>45.0</v>
      </c>
      <c r="C81" s="36">
        <v>-0.11838196056791</v>
      </c>
      <c r="D81" s="36">
        <v>-0.145232390650854</v>
      </c>
      <c r="E81" s="36">
        <v>5.74646736712944E-28</v>
      </c>
    </row>
    <row r="82">
      <c r="A82" s="26" t="s">
        <v>92</v>
      </c>
      <c r="B82" s="26">
        <v>31.0</v>
      </c>
      <c r="C82" s="36">
        <v>-0.133024242756588</v>
      </c>
      <c r="D82" s="36">
        <v>-0.136064787618335</v>
      </c>
      <c r="E82" s="36">
        <v>1.83500515495043E-20</v>
      </c>
    </row>
    <row r="83">
      <c r="A83" s="26" t="s">
        <v>162</v>
      </c>
      <c r="B83" s="26">
        <v>62.0</v>
      </c>
      <c r="C83" s="36">
        <v>0.0415465927738744</v>
      </c>
      <c r="D83" s="36">
        <v>0.0181072242528308</v>
      </c>
      <c r="E83" s="36">
        <v>0.0503855043476679</v>
      </c>
    </row>
    <row r="84">
      <c r="A84" s="26" t="s">
        <v>177</v>
      </c>
      <c r="B84" s="26">
        <v>110.0</v>
      </c>
      <c r="C84" s="36">
        <v>-0.0188185204238509</v>
      </c>
      <c r="D84" s="36">
        <v>-0.0290287540249997</v>
      </c>
      <c r="E84" s="36">
        <v>7.16924555519818E-6</v>
      </c>
    </row>
    <row r="85">
      <c r="A85" s="26" t="s">
        <v>89</v>
      </c>
      <c r="B85" s="26">
        <v>60.0</v>
      </c>
      <c r="C85" s="36">
        <v>-0.0648864923949771</v>
      </c>
      <c r="D85" s="36">
        <v>-0.107255607769959</v>
      </c>
      <c r="E85" s="36">
        <v>9.38004933188135E-23</v>
      </c>
    </row>
    <row r="86">
      <c r="A86" s="26" t="s">
        <v>143</v>
      </c>
      <c r="B86" s="26">
        <v>45.0</v>
      </c>
      <c r="C86" s="36">
        <v>-8.70606670464981E-4</v>
      </c>
      <c r="D86" s="36">
        <v>-0.0278178525874375</v>
      </c>
      <c r="E86" s="36">
        <v>0.00536503338169842</v>
      </c>
    </row>
    <row r="87">
      <c r="A87" s="26" t="s">
        <v>34</v>
      </c>
      <c r="B87" s="26">
        <v>46.0</v>
      </c>
      <c r="C87" s="36">
        <v>-0.0104149612953176</v>
      </c>
      <c r="D87" s="36">
        <v>-0.0418705545558896</v>
      </c>
      <c r="E87" s="36">
        <v>5.80986456814835E-4</v>
      </c>
    </row>
    <row r="88">
      <c r="A88" s="26" t="s">
        <v>36</v>
      </c>
      <c r="B88" s="26">
        <v>94.0</v>
      </c>
      <c r="C88" s="36">
        <v>-0.0311788023573066</v>
      </c>
      <c r="D88" s="36">
        <v>-0.0292642959976863</v>
      </c>
      <c r="E88" s="36">
        <v>3.94870525390656E-5</v>
      </c>
    </row>
    <row r="89">
      <c r="A89" s="26" t="s">
        <v>16</v>
      </c>
      <c r="B89" s="26">
        <v>62.0</v>
      </c>
      <c r="C89" s="36">
        <v>0.0169839339292955</v>
      </c>
      <c r="D89" s="36">
        <v>0.00350210910104384</v>
      </c>
      <c r="E89" s="36">
        <v>0.711524081248241</v>
      </c>
    </row>
    <row r="90">
      <c r="A90" s="26" t="s">
        <v>144</v>
      </c>
      <c r="B90" s="26">
        <v>79.0</v>
      </c>
      <c r="C90" s="36">
        <v>0.0141653724145601</v>
      </c>
      <c r="D90" s="36">
        <v>-0.0110742494592433</v>
      </c>
      <c r="E90" s="36">
        <v>0.196327918041686</v>
      </c>
    </row>
    <row r="91">
      <c r="A91" s="26" t="s">
        <v>44</v>
      </c>
      <c r="B91" s="26">
        <v>77.0</v>
      </c>
      <c r="C91" s="36">
        <v>0.00301219213410573</v>
      </c>
      <c r="D91" s="36">
        <v>-0.0184466918688979</v>
      </c>
      <c r="E91" s="36">
        <v>0.0165076300224083</v>
      </c>
    </row>
    <row r="92">
      <c r="A92" s="26" t="s">
        <v>63</v>
      </c>
      <c r="B92" s="26">
        <v>63.0</v>
      </c>
      <c r="C92" s="36">
        <v>-0.00643554753783782</v>
      </c>
      <c r="D92" s="36">
        <v>-0.0382182260561047</v>
      </c>
      <c r="E92" s="36">
        <v>1.24920748338189E-4</v>
      </c>
    </row>
    <row r="93">
      <c r="A93" s="26" t="s">
        <v>97</v>
      </c>
      <c r="B93" s="26">
        <v>142.0</v>
      </c>
      <c r="C93" s="36">
        <v>0.0389875416850221</v>
      </c>
      <c r="D93" s="36">
        <v>0.0190101763909443</v>
      </c>
      <c r="E93" s="36">
        <v>0.00450074365446894</v>
      </c>
    </row>
    <row r="94">
      <c r="A94" s="26" t="s">
        <v>158</v>
      </c>
      <c r="B94" s="26">
        <v>68.0</v>
      </c>
      <c r="C94" s="36">
        <v>-0.0601540850044547</v>
      </c>
      <c r="D94" s="36">
        <v>-0.0700199470533979</v>
      </c>
      <c r="E94" s="36">
        <v>8.78869430395981E-13</v>
      </c>
    </row>
    <row r="95">
      <c r="A95" s="26" t="s">
        <v>156</v>
      </c>
      <c r="B95" s="26">
        <v>49.0</v>
      </c>
      <c r="C95" s="36">
        <v>-0.0800628626733543</v>
      </c>
      <c r="D95" s="36">
        <v>-0.12549126052955</v>
      </c>
      <c r="E95" s="36">
        <v>1.29448933338206E-23</v>
      </c>
    </row>
    <row r="96">
      <c r="A96" s="26" t="s">
        <v>117</v>
      </c>
      <c r="B96" s="26">
        <v>50.0</v>
      </c>
      <c r="C96" s="36">
        <v>-0.099730067471162</v>
      </c>
      <c r="D96" s="36">
        <v>-0.108282738799721</v>
      </c>
      <c r="E96" s="36">
        <v>9.3516369639004E-18</v>
      </c>
    </row>
    <row r="97">
      <c r="A97" s="26" t="s">
        <v>136</v>
      </c>
      <c r="B97" s="26">
        <v>143.0</v>
      </c>
      <c r="C97" s="36">
        <v>0.0343625280418985</v>
      </c>
      <c r="D97" s="36">
        <v>0.0126059080547358</v>
      </c>
      <c r="E97" s="36">
        <v>0.0239540156559451</v>
      </c>
    </row>
    <row r="98">
      <c r="A98" s="26" t="s">
        <v>169</v>
      </c>
      <c r="B98" s="26">
        <v>34.0</v>
      </c>
      <c r="C98" s="36">
        <v>-0.0640652242921249</v>
      </c>
      <c r="D98" s="36">
        <v>-0.0954341579299158</v>
      </c>
      <c r="E98" s="36">
        <v>1.65652432063061E-12</v>
      </c>
    </row>
    <row r="99">
      <c r="A99" s="26" t="s">
        <v>146</v>
      </c>
      <c r="B99" s="26">
        <v>101.0</v>
      </c>
      <c r="C99" s="36">
        <v>0.0233700669160532</v>
      </c>
      <c r="D99" s="36">
        <v>-0.00607787502337621</v>
      </c>
      <c r="E99" s="36">
        <v>0.461525265418888</v>
      </c>
    </row>
    <row r="100">
      <c r="A100" s="26" t="s">
        <v>91</v>
      </c>
      <c r="B100" s="26">
        <v>211.0</v>
      </c>
      <c r="C100" s="36">
        <v>-0.0217932850753937</v>
      </c>
      <c r="D100" s="36">
        <v>-0.047685597438431</v>
      </c>
      <c r="E100" s="36">
        <v>1.55105024276701E-18</v>
      </c>
    </row>
    <row r="101">
      <c r="A101" s="26" t="s">
        <v>131</v>
      </c>
      <c r="B101" s="26">
        <v>81.0</v>
      </c>
      <c r="C101" s="36">
        <v>0.0213221245057131</v>
      </c>
      <c r="D101" s="36">
        <v>-0.00775113527509113</v>
      </c>
      <c r="E101" s="36">
        <v>0.246998458216493</v>
      </c>
    </row>
    <row r="102">
      <c r="A102" s="26" t="s">
        <v>95</v>
      </c>
      <c r="B102" s="26">
        <v>79.0</v>
      </c>
      <c r="C102" s="36">
        <v>-0.0219094378774046</v>
      </c>
      <c r="D102" s="36">
        <v>-0.0521277740533432</v>
      </c>
      <c r="E102" s="36">
        <v>3.84990910826243E-9</v>
      </c>
    </row>
    <row r="103">
      <c r="A103" s="26" t="s">
        <v>142</v>
      </c>
      <c r="B103" s="26">
        <v>128.0</v>
      </c>
      <c r="C103" s="36">
        <v>-0.0799546322247732</v>
      </c>
      <c r="D103" s="36">
        <v>-0.0954104997091889</v>
      </c>
      <c r="E103" s="36">
        <v>2.8525199447636E-29</v>
      </c>
    </row>
    <row r="104">
      <c r="A104" s="26" t="s">
        <v>50</v>
      </c>
      <c r="B104" s="26">
        <v>98.0</v>
      </c>
      <c r="C104" s="36">
        <v>0.0826596561130053</v>
      </c>
      <c r="D104" s="36">
        <v>0.0456364115930783</v>
      </c>
      <c r="E104" s="36">
        <v>8.57568219947693E-7</v>
      </c>
    </row>
    <row r="105">
      <c r="A105" s="26" t="s">
        <v>178</v>
      </c>
      <c r="B105" s="26">
        <v>83.0</v>
      </c>
      <c r="C105" s="36">
        <v>-0.0990669315172898</v>
      </c>
      <c r="D105" s="36">
        <v>-0.115172310157723</v>
      </c>
      <c r="E105" s="36">
        <v>4.53864811107269E-29</v>
      </c>
    </row>
    <row r="106">
      <c r="A106" s="26" t="s">
        <v>120</v>
      </c>
      <c r="B106" s="26">
        <v>38.0</v>
      </c>
      <c r="C106" s="36">
        <v>-0.0567756681497481</v>
      </c>
      <c r="D106" s="36">
        <v>-0.0723315201572611</v>
      </c>
      <c r="E106" s="36">
        <v>1.11971959626742E-9</v>
      </c>
    </row>
    <row r="107">
      <c r="A107" s="26" t="s">
        <v>88</v>
      </c>
      <c r="B107" s="26">
        <v>96.0</v>
      </c>
      <c r="C107" s="36">
        <v>-0.00692397143775039</v>
      </c>
      <c r="D107" s="36">
        <v>-0.0159174923987382</v>
      </c>
      <c r="E107" s="36">
        <v>0.0265176177550103</v>
      </c>
    </row>
    <row r="108">
      <c r="A108" s="26" t="s">
        <v>151</v>
      </c>
      <c r="B108" s="26">
        <v>50.0</v>
      </c>
      <c r="C108" s="36">
        <v>-0.0570931988102578</v>
      </c>
      <c r="D108" s="36">
        <v>-0.0803523978573464</v>
      </c>
      <c r="E108" s="36">
        <v>5.75800433763501E-15</v>
      </c>
    </row>
    <row r="109">
      <c r="A109" s="26" t="s">
        <v>167</v>
      </c>
      <c r="B109" s="26">
        <v>76.0</v>
      </c>
      <c r="C109" s="36">
        <v>-0.0549977194169873</v>
      </c>
      <c r="D109" s="36">
        <v>-0.0667681606356588</v>
      </c>
      <c r="E109" s="36">
        <v>5.56036709216957E-14</v>
      </c>
    </row>
    <row r="110">
      <c r="A110" s="26" t="s">
        <v>28</v>
      </c>
      <c r="B110" s="26">
        <v>48.0</v>
      </c>
      <c r="C110" s="36">
        <v>0.00993594296355748</v>
      </c>
      <c r="D110" s="36">
        <v>-0.0255014455985741</v>
      </c>
      <c r="E110" s="36">
        <v>0.0115143813534622</v>
      </c>
    </row>
    <row r="111">
      <c r="A111" s="26" t="s">
        <v>70</v>
      </c>
      <c r="B111" s="26">
        <v>83.0</v>
      </c>
      <c r="C111" s="36">
        <v>-0.0256278006709305</v>
      </c>
      <c r="D111" s="36">
        <v>-0.0596660253095161</v>
      </c>
      <c r="E111" s="36">
        <v>1.07369243462542E-10</v>
      </c>
    </row>
    <row r="112">
      <c r="A112" s="26" t="s">
        <v>20</v>
      </c>
      <c r="B112" s="26">
        <v>83.0</v>
      </c>
      <c r="C112" s="36">
        <v>0.0133557747594166</v>
      </c>
      <c r="D112" s="36">
        <v>-0.00254664035152616</v>
      </c>
      <c r="E112" s="36">
        <v>0.725724443479234</v>
      </c>
    </row>
    <row r="113">
      <c r="A113" s="26" t="s">
        <v>71</v>
      </c>
      <c r="B113" s="26">
        <v>79.0</v>
      </c>
      <c r="C113" s="36">
        <v>-0.0146447827512625</v>
      </c>
      <c r="D113" s="36">
        <v>-0.0200742949518331</v>
      </c>
      <c r="E113" s="36">
        <v>0.0191148543740672</v>
      </c>
    </row>
    <row r="114">
      <c r="A114" s="26" t="s">
        <v>67</v>
      </c>
      <c r="B114" s="26">
        <v>48.0</v>
      </c>
      <c r="C114" s="36">
        <v>0.0863579658665543</v>
      </c>
      <c r="D114" s="36">
        <v>0.06829989854695</v>
      </c>
      <c r="E114" s="36">
        <v>1.91201209708214E-9</v>
      </c>
    </row>
    <row r="115">
      <c r="A115" s="26" t="s">
        <v>148</v>
      </c>
      <c r="B115" s="26">
        <v>69.0</v>
      </c>
      <c r="C115" s="36">
        <v>-0.0585066986649026</v>
      </c>
      <c r="D115" s="36">
        <v>-0.0725178439832345</v>
      </c>
      <c r="E115" s="36">
        <v>7.20419299388455E-18</v>
      </c>
    </row>
    <row r="116">
      <c r="A116" s="26" t="s">
        <v>81</v>
      </c>
      <c r="B116" s="26">
        <v>131.0</v>
      </c>
      <c r="C116" s="36">
        <v>0.0204191818783901</v>
      </c>
      <c r="D116" s="36">
        <v>0.00270156268161528</v>
      </c>
      <c r="E116" s="36">
        <v>0.657937239594591</v>
      </c>
    </row>
    <row r="117">
      <c r="A117" s="26" t="s">
        <v>40</v>
      </c>
      <c r="B117" s="26">
        <v>71.0</v>
      </c>
      <c r="C117" s="36">
        <v>-0.0464541782654971</v>
      </c>
      <c r="D117" s="36">
        <v>-0.0751510336405944</v>
      </c>
      <c r="E117" s="36">
        <v>2.17853427490955E-15</v>
      </c>
    </row>
    <row r="118">
      <c r="A118" s="26" t="s">
        <v>110</v>
      </c>
      <c r="B118" s="26">
        <v>74.0</v>
      </c>
      <c r="C118" s="36">
        <v>-0.0221729885050234</v>
      </c>
      <c r="D118" s="36">
        <v>-0.0271313773605029</v>
      </c>
      <c r="E118" s="36">
        <v>0.00151233403809335</v>
      </c>
    </row>
    <row r="119">
      <c r="A119" s="26" t="s">
        <v>166</v>
      </c>
      <c r="B119" s="26">
        <v>110.0</v>
      </c>
      <c r="C119" s="36">
        <v>-0.122245344773177</v>
      </c>
      <c r="D119" s="36">
        <v>-0.141796489494333</v>
      </c>
      <c r="E119" s="36">
        <v>1.68023673675171E-43</v>
      </c>
    </row>
    <row r="120">
      <c r="A120" s="26" t="s">
        <v>99</v>
      </c>
      <c r="B120" s="26">
        <v>36.0</v>
      </c>
      <c r="C120" s="36">
        <v>0.010273411823762</v>
      </c>
      <c r="D120" s="36">
        <v>0.0101314929731133</v>
      </c>
      <c r="E120" s="36">
        <v>0.293168844583434</v>
      </c>
    </row>
    <row r="121">
      <c r="A121" s="26" t="s">
        <v>73</v>
      </c>
      <c r="B121" s="26">
        <v>123.0</v>
      </c>
      <c r="C121" s="36">
        <v>-0.0254090223408334</v>
      </c>
      <c r="D121" s="36">
        <v>-0.0522886805543698</v>
      </c>
      <c r="E121" s="36">
        <v>6.08395442250936E-12</v>
      </c>
    </row>
    <row r="122">
      <c r="A122" s="26" t="s">
        <v>116</v>
      </c>
      <c r="B122" s="26">
        <v>127.0</v>
      </c>
      <c r="C122" s="36">
        <v>-0.0115216529035301</v>
      </c>
      <c r="D122" s="36">
        <v>-0.0498077110351061</v>
      </c>
      <c r="E122" s="36">
        <v>2.50742308907646E-14</v>
      </c>
    </row>
    <row r="123">
      <c r="A123" s="26" t="s">
        <v>82</v>
      </c>
      <c r="B123" s="26">
        <v>69.0</v>
      </c>
      <c r="C123" s="36">
        <v>0.0061637223460512</v>
      </c>
      <c r="D123" s="36">
        <v>-0.0323039160631189</v>
      </c>
      <c r="E123" s="36">
        <v>2.55410212427223E-4</v>
      </c>
    </row>
    <row r="124">
      <c r="A124" s="26" t="s">
        <v>190</v>
      </c>
      <c r="B124" s="26">
        <v>29.0</v>
      </c>
      <c r="C124" s="36">
        <v>0.062578669496158</v>
      </c>
      <c r="D124" s="36">
        <v>0.0327561513745784</v>
      </c>
      <c r="E124" s="36">
        <v>0.00999529553853873</v>
      </c>
    </row>
    <row r="125">
      <c r="A125" s="26" t="s">
        <v>132</v>
      </c>
      <c r="B125" s="26">
        <v>70.0</v>
      </c>
      <c r="C125" s="36">
        <v>-0.0498370725964273</v>
      </c>
      <c r="D125" s="36">
        <v>-0.0800018453695889</v>
      </c>
      <c r="E125" s="36">
        <v>7.60670272145203E-17</v>
      </c>
    </row>
    <row r="126">
      <c r="A126" s="26" t="s">
        <v>79</v>
      </c>
      <c r="B126" s="26">
        <v>88.0</v>
      </c>
      <c r="C126" s="36">
        <v>0.0181233164237767</v>
      </c>
      <c r="D126" s="36">
        <v>-0.0127154440549839</v>
      </c>
      <c r="E126" s="36">
        <v>0.100507935475677</v>
      </c>
    </row>
    <row r="127">
      <c r="A127" s="26" t="s">
        <v>101</v>
      </c>
      <c r="B127" s="26">
        <v>75.0</v>
      </c>
      <c r="C127" s="36">
        <v>-0.0139622554986547</v>
      </c>
      <c r="D127" s="36">
        <v>-0.0140669531612466</v>
      </c>
      <c r="E127" s="36">
        <v>0.112970372264863</v>
      </c>
    </row>
    <row r="128">
      <c r="A128" s="26" t="s">
        <v>123</v>
      </c>
      <c r="B128" s="26">
        <v>69.0</v>
      </c>
      <c r="C128" s="36">
        <v>-0.0451406669970789</v>
      </c>
      <c r="D128" s="36">
        <v>-0.0750485519879023</v>
      </c>
      <c r="E128" s="36">
        <v>2.74468045699217E-15</v>
      </c>
    </row>
    <row r="129">
      <c r="A129" s="26" t="s">
        <v>46</v>
      </c>
      <c r="B129" s="26">
        <v>75.0</v>
      </c>
      <c r="C129" s="36">
        <v>-0.00354649163325521</v>
      </c>
      <c r="D129" s="36">
        <v>-2.27980558473807E-4</v>
      </c>
      <c r="E129" s="36">
        <v>0.975332940140096</v>
      </c>
    </row>
    <row r="130">
      <c r="A130" s="26" t="s">
        <v>18</v>
      </c>
      <c r="B130" s="26">
        <v>55.0</v>
      </c>
      <c r="C130" s="36">
        <v>0.0175646153011126</v>
      </c>
      <c r="D130" s="36">
        <v>0.0167953622293764</v>
      </c>
      <c r="E130" s="36">
        <v>0.0746809943140769</v>
      </c>
    </row>
    <row r="131">
      <c r="A131" s="26" t="s">
        <v>153</v>
      </c>
      <c r="B131" s="26">
        <v>27.0</v>
      </c>
      <c r="C131" s="36">
        <v>-0.173692082613443</v>
      </c>
      <c r="D131" s="36">
        <v>-0.156094346989925</v>
      </c>
      <c r="E131" s="36">
        <v>3.33744271420395E-23</v>
      </c>
    </row>
    <row r="132">
      <c r="A132" s="26" t="s">
        <v>165</v>
      </c>
      <c r="B132" s="26">
        <v>130.0</v>
      </c>
      <c r="C132" s="36">
        <v>0.0418781944455289</v>
      </c>
      <c r="D132" s="36">
        <v>-0.0444867279581871</v>
      </c>
      <c r="E132" s="36">
        <v>6.38680769924246E-9</v>
      </c>
    </row>
    <row r="133">
      <c r="A133" s="26" t="s">
        <v>157</v>
      </c>
      <c r="B133" s="26">
        <v>77.0</v>
      </c>
      <c r="C133" s="36">
        <v>0.0749432716486849</v>
      </c>
      <c r="D133" s="36">
        <v>0.0222431422578577</v>
      </c>
      <c r="E133" s="36">
        <v>0.00680929459368586</v>
      </c>
    </row>
    <row r="134">
      <c r="A134" s="26" t="s">
        <v>188</v>
      </c>
      <c r="B134" s="26">
        <v>19.0</v>
      </c>
      <c r="C134" s="36">
        <v>-0.0681305067596456</v>
      </c>
      <c r="D134" s="36">
        <v>-0.0852294331595291</v>
      </c>
      <c r="E134" s="36">
        <v>2.49334321088599E-9</v>
      </c>
    </row>
    <row r="135">
      <c r="A135" s="26" t="s">
        <v>182</v>
      </c>
      <c r="B135" s="26">
        <v>37.0</v>
      </c>
      <c r="C135" s="36">
        <v>-0.0455257063390635</v>
      </c>
      <c r="D135" s="36">
        <v>-0.0903770986774683</v>
      </c>
      <c r="E135" s="36">
        <v>3.07198809174832E-15</v>
      </c>
    </row>
    <row r="136">
      <c r="A136" s="26" t="s">
        <v>175</v>
      </c>
      <c r="B136" s="26">
        <v>95.0</v>
      </c>
      <c r="C136" s="36">
        <v>0.0697468486802792</v>
      </c>
      <c r="D136" s="36">
        <v>0.00737088350148216</v>
      </c>
      <c r="E136" s="36">
        <v>0.339902952975291</v>
      </c>
    </row>
    <row r="137">
      <c r="A137" s="26" t="s">
        <v>66</v>
      </c>
      <c r="B137" s="26">
        <v>160.0</v>
      </c>
      <c r="C137" s="36">
        <v>0.0493574219028176</v>
      </c>
      <c r="D137" s="36">
        <v>-0.00522128535283821</v>
      </c>
      <c r="E137" s="36">
        <v>0.368572727933244</v>
      </c>
    </row>
    <row r="138">
      <c r="A138" s="26" t="s">
        <v>22</v>
      </c>
      <c r="B138" s="26">
        <v>85.0</v>
      </c>
      <c r="C138" s="36">
        <v>0.049103554024299</v>
      </c>
      <c r="D138" s="36">
        <v>0.0334583762957477</v>
      </c>
      <c r="E138" s="36">
        <v>6.00732597255475E-6</v>
      </c>
    </row>
    <row r="139">
      <c r="A139" s="26" t="s">
        <v>65</v>
      </c>
      <c r="B139" s="26">
        <v>121.0</v>
      </c>
      <c r="C139" s="36">
        <v>0.0310799047879911</v>
      </c>
      <c r="D139" s="36">
        <v>-0.00754043126745663</v>
      </c>
      <c r="E139" s="36">
        <v>0.280708546544912</v>
      </c>
    </row>
    <row r="140">
      <c r="A140" s="26" t="s">
        <v>113</v>
      </c>
      <c r="B140" s="26">
        <v>83.0</v>
      </c>
      <c r="C140" s="36">
        <v>-0.0222068499286809</v>
      </c>
      <c r="D140" s="36">
        <v>-0.0643619394131862</v>
      </c>
      <c r="E140" s="36">
        <v>1.5580205389035E-11</v>
      </c>
    </row>
    <row r="141">
      <c r="A141" s="26" t="s">
        <v>93</v>
      </c>
      <c r="B141" s="26">
        <v>62.0</v>
      </c>
      <c r="C141" s="36">
        <v>0.136759349723027</v>
      </c>
      <c r="D141" s="36">
        <v>0.122235050614213</v>
      </c>
      <c r="E141" s="36">
        <v>1.61302894212342E-22</v>
      </c>
    </row>
    <row r="142">
      <c r="A142" s="26" t="s">
        <v>128</v>
      </c>
      <c r="B142" s="26">
        <v>147.0</v>
      </c>
      <c r="C142" s="36">
        <v>-0.0255783298348978</v>
      </c>
      <c r="D142" s="36">
        <v>-0.0415444057037821</v>
      </c>
      <c r="E142" s="36">
        <v>7.28279264944271E-9</v>
      </c>
    </row>
    <row r="143">
      <c r="A143" s="26" t="s">
        <v>115</v>
      </c>
      <c r="B143" s="26">
        <v>42.0</v>
      </c>
      <c r="C143" s="36">
        <v>-0.00899513688240538</v>
      </c>
      <c r="D143" s="36">
        <v>-0.0207567707905153</v>
      </c>
      <c r="E143" s="36">
        <v>0.0618407466900464</v>
      </c>
    </row>
    <row r="144">
      <c r="A144" s="26" t="s">
        <v>24</v>
      </c>
      <c r="B144" s="26">
        <v>120.0</v>
      </c>
      <c r="C144" s="36">
        <v>0.0246003839992616</v>
      </c>
      <c r="D144" s="36">
        <v>-0.0355855550873394</v>
      </c>
      <c r="E144" s="36">
        <v>4.07993155805846E-6</v>
      </c>
    </row>
    <row r="145">
      <c r="A145" s="26" t="s">
        <v>56</v>
      </c>
      <c r="B145" s="26">
        <v>66.0</v>
      </c>
      <c r="C145" s="36">
        <v>0.0148717907893915</v>
      </c>
      <c r="D145" s="36">
        <v>-0.0380326864418129</v>
      </c>
      <c r="E145" s="36">
        <v>4.64947809989339E-4</v>
      </c>
    </row>
    <row r="146">
      <c r="A146" s="26" t="s">
        <v>68</v>
      </c>
      <c r="B146" s="26">
        <v>103.0</v>
      </c>
      <c r="C146" s="36">
        <v>0.0328641080898853</v>
      </c>
      <c r="D146" s="36">
        <v>-0.0322368219115928</v>
      </c>
      <c r="E146" s="36">
        <v>1.71743036239925E-4</v>
      </c>
    </row>
    <row r="147">
      <c r="A147" s="26" t="s">
        <v>87</v>
      </c>
      <c r="B147" s="26">
        <v>138.0</v>
      </c>
      <c r="C147" s="36">
        <v>0.0142341444714714</v>
      </c>
      <c r="D147" s="36">
        <v>-0.0436822027699086</v>
      </c>
      <c r="E147" s="36">
        <v>8.36970980637328E-11</v>
      </c>
    </row>
    <row r="148">
      <c r="A148" s="26" t="s">
        <v>122</v>
      </c>
      <c r="B148" s="26">
        <v>97.0</v>
      </c>
      <c r="C148" s="36">
        <v>-0.00505456523717716</v>
      </c>
      <c r="D148" s="36">
        <v>-0.0403297000282115</v>
      </c>
      <c r="E148" s="36">
        <v>7.72882280979426E-8</v>
      </c>
    </row>
    <row r="149">
      <c r="A149" s="26" t="s">
        <v>54</v>
      </c>
      <c r="B149" s="26">
        <v>134.0</v>
      </c>
      <c r="C149" s="36">
        <v>0.0236073286235826</v>
      </c>
      <c r="D149" s="36">
        <v>0.00154930386908512</v>
      </c>
      <c r="E149" s="36">
        <v>0.790008674936337</v>
      </c>
    </row>
    <row r="150">
      <c r="A150" s="26" t="s">
        <v>58</v>
      </c>
      <c r="B150" s="26">
        <v>77.0</v>
      </c>
      <c r="C150" s="36">
        <v>-0.0113402183061557</v>
      </c>
      <c r="D150" s="36">
        <v>-0.0260677484087036</v>
      </c>
      <c r="E150" s="36">
        <v>6.51532745768906E-4</v>
      </c>
    </row>
    <row r="151">
      <c r="A151" s="26" t="s">
        <v>111</v>
      </c>
      <c r="B151" s="26">
        <v>58.0</v>
      </c>
      <c r="C151" s="36">
        <v>-0.0369104648909702</v>
      </c>
      <c r="D151" s="36">
        <v>-0.0371337572191306</v>
      </c>
      <c r="E151" s="36">
        <v>7.94023148238064E-5</v>
      </c>
    </row>
    <row r="152">
      <c r="A152" s="26" t="s">
        <v>62</v>
      </c>
      <c r="B152" s="26">
        <v>127.0</v>
      </c>
      <c r="C152" s="36">
        <v>0.0270616590556936</v>
      </c>
      <c r="D152" s="36">
        <v>0.00199425722549872</v>
      </c>
      <c r="E152" s="36">
        <v>0.77527006317322</v>
      </c>
    </row>
    <row r="153">
      <c r="A153" s="26" t="s">
        <v>189</v>
      </c>
      <c r="B153" s="26">
        <v>37.0</v>
      </c>
      <c r="C153" s="36">
        <v>-0.170046261727354</v>
      </c>
      <c r="D153" s="36">
        <v>-0.204536992509972</v>
      </c>
      <c r="E153" s="36">
        <v>9.07753398672832E-32</v>
      </c>
    </row>
    <row r="154">
      <c r="A154" s="26" t="s">
        <v>184</v>
      </c>
      <c r="B154" s="26">
        <v>53.0</v>
      </c>
      <c r="C154" s="36">
        <v>0.0506132364828979</v>
      </c>
      <c r="D154" s="36">
        <v>0.0381316784151386</v>
      </c>
      <c r="E154" s="36">
        <v>1.1017997569348E-5</v>
      </c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  <row r="1001">
      <c r="C1001" s="13"/>
      <c r="D1001" s="13"/>
      <c r="E1001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27" t="s">
        <v>0</v>
      </c>
      <c r="B1" s="27" t="s">
        <v>209</v>
      </c>
      <c r="C1" s="27" t="s">
        <v>210</v>
      </c>
      <c r="D1" s="27" t="s">
        <v>211</v>
      </c>
      <c r="E1" s="27" t="s">
        <v>212</v>
      </c>
    </row>
    <row r="2">
      <c r="A2" s="26" t="s">
        <v>133</v>
      </c>
      <c r="B2" s="26">
        <v>61.0</v>
      </c>
      <c r="C2" s="36">
        <v>0.0491112227151737</v>
      </c>
      <c r="D2" s="36">
        <v>0.0304901066776779</v>
      </c>
      <c r="E2" s="36">
        <v>3.3258636610522E-4</v>
      </c>
    </row>
    <row r="3">
      <c r="A3" s="26" t="s">
        <v>171</v>
      </c>
      <c r="B3" s="26">
        <v>12.0</v>
      </c>
      <c r="C3" s="36">
        <v>0.0994751940514728</v>
      </c>
      <c r="D3" s="36">
        <v>0.0832141073640272</v>
      </c>
      <c r="E3" s="36">
        <v>7.63680541880675E-4</v>
      </c>
    </row>
    <row r="4">
      <c r="A4" s="26" t="s">
        <v>30</v>
      </c>
      <c r="B4" s="26">
        <v>69.0</v>
      </c>
      <c r="C4" s="36">
        <v>-0.00722483046418125</v>
      </c>
      <c r="D4" s="36">
        <v>-0.0255529360668646</v>
      </c>
      <c r="E4" s="36">
        <v>0.00627106072335417</v>
      </c>
    </row>
    <row r="5">
      <c r="A5" s="26" t="s">
        <v>69</v>
      </c>
      <c r="B5" s="26">
        <v>29.0</v>
      </c>
      <c r="C5" s="36">
        <v>-0.120049658354309</v>
      </c>
      <c r="D5" s="36">
        <v>-0.140697031700214</v>
      </c>
      <c r="E5" s="36">
        <v>4.86655263146508E-18</v>
      </c>
    </row>
    <row r="6">
      <c r="A6" s="26" t="s">
        <v>186</v>
      </c>
      <c r="B6" s="26">
        <v>15.0</v>
      </c>
      <c r="C6" s="36">
        <v>0.0431379060291498</v>
      </c>
      <c r="D6" s="36">
        <v>0.0185781486127028</v>
      </c>
      <c r="E6" s="36">
        <v>0.283520567203962</v>
      </c>
    </row>
    <row r="7">
      <c r="A7" s="26" t="s">
        <v>174</v>
      </c>
      <c r="B7" s="26">
        <v>18.0</v>
      </c>
      <c r="C7" s="36">
        <v>-0.0852455473913056</v>
      </c>
      <c r="D7" s="36">
        <v>-0.0912989011587338</v>
      </c>
      <c r="E7" s="36">
        <v>5.21947631336894E-8</v>
      </c>
    </row>
    <row r="8">
      <c r="A8" s="26" t="s">
        <v>159</v>
      </c>
      <c r="B8" s="26">
        <v>15.0</v>
      </c>
      <c r="C8" s="36">
        <v>0.0529959641613229</v>
      </c>
      <c r="D8" s="36">
        <v>0.0491449905937079</v>
      </c>
      <c r="E8" s="36">
        <v>0.00376108803404949</v>
      </c>
    </row>
    <row r="9">
      <c r="A9" s="26" t="s">
        <v>126</v>
      </c>
      <c r="B9" s="26">
        <v>50.0</v>
      </c>
      <c r="C9" s="36">
        <v>-0.0760164561691073</v>
      </c>
      <c r="D9" s="36">
        <v>-0.0948019738214401</v>
      </c>
      <c r="E9" s="36">
        <v>2.53647375951893E-15</v>
      </c>
    </row>
    <row r="10">
      <c r="A10" s="26" t="s">
        <v>112</v>
      </c>
      <c r="B10" s="26">
        <v>18.0</v>
      </c>
      <c r="C10" s="36">
        <v>0.125109015119278</v>
      </c>
      <c r="D10" s="36">
        <v>0.143165735353732</v>
      </c>
      <c r="E10" s="36">
        <v>4.50290346720197E-11</v>
      </c>
    </row>
    <row r="11">
      <c r="A11" s="26" t="s">
        <v>185</v>
      </c>
      <c r="B11" s="26">
        <v>36.0</v>
      </c>
      <c r="C11" s="36">
        <v>-0.116640157551862</v>
      </c>
      <c r="D11" s="36">
        <v>-0.148100093790688</v>
      </c>
      <c r="E11" s="36">
        <v>3.28378792838503E-21</v>
      </c>
    </row>
    <row r="12">
      <c r="A12" s="26" t="s">
        <v>170</v>
      </c>
      <c r="B12" s="26">
        <v>27.0</v>
      </c>
      <c r="C12" s="36">
        <v>-0.218025183582558</v>
      </c>
      <c r="D12" s="36">
        <v>-0.247045980312569</v>
      </c>
      <c r="E12" s="36">
        <v>1.38149049483827E-30</v>
      </c>
    </row>
    <row r="13">
      <c r="A13" s="26" t="s">
        <v>173</v>
      </c>
      <c r="B13" s="26">
        <v>49.0</v>
      </c>
      <c r="C13" s="36">
        <v>0.0362354207461658</v>
      </c>
      <c r="D13" s="36">
        <v>-0.00233348333743647</v>
      </c>
      <c r="E13" s="36">
        <v>0.82916146831369</v>
      </c>
    </row>
    <row r="14">
      <c r="A14" s="26" t="s">
        <v>107</v>
      </c>
      <c r="B14" s="26">
        <v>66.0</v>
      </c>
      <c r="C14" s="36">
        <v>0.0336534304967214</v>
      </c>
      <c r="D14" s="36">
        <v>0.0041023774405103</v>
      </c>
      <c r="E14" s="36">
        <v>0.64633129042086</v>
      </c>
    </row>
    <row r="15">
      <c r="A15" s="26" t="s">
        <v>139</v>
      </c>
      <c r="B15" s="26">
        <v>44.0</v>
      </c>
      <c r="C15" s="36">
        <v>0.00410366351848565</v>
      </c>
      <c r="D15" s="36">
        <v>-0.0401238333378299</v>
      </c>
      <c r="E15" s="36">
        <v>0.00119669409736313</v>
      </c>
    </row>
    <row r="16">
      <c r="A16" s="26" t="s">
        <v>64</v>
      </c>
      <c r="B16" s="26">
        <v>65.0</v>
      </c>
      <c r="C16" s="36">
        <v>-0.0490419342651632</v>
      </c>
      <c r="D16" s="36">
        <v>-0.0797998184959145</v>
      </c>
      <c r="E16" s="36">
        <v>5.41802407046707E-14</v>
      </c>
    </row>
    <row r="17">
      <c r="A17" s="26" t="s">
        <v>100</v>
      </c>
      <c r="B17" s="26">
        <v>35.0</v>
      </c>
      <c r="C17" s="36">
        <v>-0.0402754183339489</v>
      </c>
      <c r="D17" s="36">
        <v>-0.0486734183938644</v>
      </c>
      <c r="E17" s="36">
        <v>2.51900544050647E-5</v>
      </c>
    </row>
    <row r="18">
      <c r="A18" s="26" t="s">
        <v>124</v>
      </c>
      <c r="B18" s="26">
        <v>34.0</v>
      </c>
      <c r="C18" s="36">
        <v>-0.0404750824693432</v>
      </c>
      <c r="D18" s="36">
        <v>-0.0550950887389542</v>
      </c>
      <c r="E18" s="36">
        <v>1.32886494789655E-4</v>
      </c>
    </row>
    <row r="19">
      <c r="A19" s="26" t="s">
        <v>145</v>
      </c>
      <c r="B19" s="26">
        <v>37.0</v>
      </c>
      <c r="C19" s="36">
        <v>-0.141172395053826</v>
      </c>
      <c r="D19" s="36">
        <v>-0.161809522616957</v>
      </c>
      <c r="E19" s="36">
        <v>3.87980598240284E-21</v>
      </c>
    </row>
    <row r="20">
      <c r="A20" s="26" t="s">
        <v>80</v>
      </c>
      <c r="B20" s="26">
        <v>14.0</v>
      </c>
      <c r="C20" s="36">
        <v>-0.355173105266622</v>
      </c>
      <c r="D20" s="36">
        <v>-0.367105752707737</v>
      </c>
      <c r="E20" s="36">
        <v>3.56936334867311E-43</v>
      </c>
    </row>
    <row r="21">
      <c r="A21" s="26" t="s">
        <v>118</v>
      </c>
      <c r="B21" s="26">
        <v>80.0</v>
      </c>
      <c r="C21" s="36">
        <v>0.0232074694932043</v>
      </c>
      <c r="D21" s="36">
        <v>0.0173644083277858</v>
      </c>
      <c r="E21" s="36">
        <v>0.0170206809397314</v>
      </c>
    </row>
    <row r="22">
      <c r="A22" s="26" t="s">
        <v>75</v>
      </c>
      <c r="B22" s="26">
        <v>24.0</v>
      </c>
      <c r="C22" s="36">
        <v>-0.104832385060362</v>
      </c>
      <c r="D22" s="36">
        <v>-0.0841635635982431</v>
      </c>
      <c r="E22" s="36">
        <v>1.94909272165265E-10</v>
      </c>
    </row>
    <row r="23">
      <c r="A23" s="26" t="s">
        <v>74</v>
      </c>
      <c r="B23" s="26">
        <v>13.0</v>
      </c>
      <c r="C23" s="36">
        <v>0.0617164291590762</v>
      </c>
      <c r="D23" s="36">
        <v>0.0510148557997977</v>
      </c>
      <c r="E23" s="36">
        <v>0.00510967934165415</v>
      </c>
    </row>
    <row r="24">
      <c r="A24" s="26" t="s">
        <v>140</v>
      </c>
      <c r="B24" s="26">
        <v>18.0</v>
      </c>
      <c r="C24" s="36">
        <v>-0.114988504396316</v>
      </c>
      <c r="D24" s="36">
        <v>-0.127939794126256</v>
      </c>
      <c r="E24" s="36">
        <v>1.48440642850369E-14</v>
      </c>
    </row>
    <row r="25">
      <c r="A25" s="26" t="s">
        <v>147</v>
      </c>
      <c r="B25" s="26">
        <v>18.0</v>
      </c>
      <c r="C25" s="36">
        <v>0.0269093006924276</v>
      </c>
      <c r="D25" s="36">
        <v>0.00122571886853057</v>
      </c>
      <c r="E25" s="36">
        <v>0.942016565344167</v>
      </c>
    </row>
    <row r="26">
      <c r="A26" s="26" t="s">
        <v>130</v>
      </c>
      <c r="B26" s="26">
        <v>38.0</v>
      </c>
      <c r="C26" s="36">
        <v>0.0774452708470778</v>
      </c>
      <c r="D26" s="36">
        <v>0.0471132473378389</v>
      </c>
      <c r="E26" s="36">
        <v>3.33395017880955E-4</v>
      </c>
    </row>
    <row r="27">
      <c r="A27" s="26" t="s">
        <v>163</v>
      </c>
      <c r="B27" s="26">
        <v>9.0</v>
      </c>
      <c r="C27" s="36">
        <v>-0.459530247136564</v>
      </c>
      <c r="D27" s="36">
        <v>-0.428873522555069</v>
      </c>
      <c r="E27" s="36">
        <v>1.09860334293866E-44</v>
      </c>
    </row>
    <row r="28">
      <c r="A28" s="26" t="s">
        <v>109</v>
      </c>
      <c r="B28" s="26">
        <v>43.0</v>
      </c>
      <c r="C28" s="36">
        <v>0.0586117942822661</v>
      </c>
      <c r="D28" s="36">
        <v>0.0334844748624662</v>
      </c>
      <c r="E28" s="36">
        <v>0.0141412301305087</v>
      </c>
    </row>
    <row r="29">
      <c r="A29" s="26" t="s">
        <v>127</v>
      </c>
      <c r="B29" s="26">
        <v>35.0</v>
      </c>
      <c r="C29" s="36">
        <v>-0.0594352440141273</v>
      </c>
      <c r="D29" s="36">
        <v>-0.0747476367204448</v>
      </c>
      <c r="E29" s="36">
        <v>1.46986382990365E-8</v>
      </c>
    </row>
    <row r="30">
      <c r="A30" s="26" t="s">
        <v>160</v>
      </c>
      <c r="B30" s="26">
        <v>22.0</v>
      </c>
      <c r="C30" s="36">
        <v>0.166140260720127</v>
      </c>
      <c r="D30" s="36">
        <v>0.144780826653279</v>
      </c>
      <c r="E30" s="36">
        <v>6.84742956331773E-15</v>
      </c>
    </row>
    <row r="31">
      <c r="A31" s="26" t="s">
        <v>154</v>
      </c>
      <c r="B31" s="26">
        <v>22.0</v>
      </c>
      <c r="C31" s="36">
        <v>-0.0670688666271584</v>
      </c>
      <c r="D31" s="36">
        <v>-0.105335248849645</v>
      </c>
      <c r="E31" s="36">
        <v>4.70959763346049E-10</v>
      </c>
    </row>
    <row r="32">
      <c r="A32" s="26" t="s">
        <v>105</v>
      </c>
      <c r="B32" s="26">
        <v>26.0</v>
      </c>
      <c r="C32" s="36">
        <v>-0.0589461070529478</v>
      </c>
      <c r="D32" s="36">
        <v>-0.0777506667287095</v>
      </c>
      <c r="E32" s="36">
        <v>4.42125200278355E-7</v>
      </c>
    </row>
    <row r="33">
      <c r="A33" s="26" t="s">
        <v>138</v>
      </c>
      <c r="B33" s="26">
        <v>87.0</v>
      </c>
      <c r="C33" s="36">
        <v>0.0545935048405281</v>
      </c>
      <c r="D33" s="36">
        <v>0.029024131257214</v>
      </c>
      <c r="E33" s="36">
        <v>2.79764856267317E-4</v>
      </c>
    </row>
    <row r="34">
      <c r="A34" s="26" t="s">
        <v>77</v>
      </c>
      <c r="B34" s="26">
        <v>54.0</v>
      </c>
      <c r="C34" s="36">
        <v>-0.00579546170062038</v>
      </c>
      <c r="D34" s="36">
        <v>-0.0345370677744193</v>
      </c>
      <c r="E34" s="36">
        <v>3.41354710807657E-4</v>
      </c>
    </row>
    <row r="35">
      <c r="A35" s="26" t="s">
        <v>48</v>
      </c>
      <c r="B35" s="26">
        <v>28.0</v>
      </c>
      <c r="C35" s="36">
        <v>0.0412793348412589</v>
      </c>
      <c r="D35" s="36">
        <v>0.0257720735917561</v>
      </c>
      <c r="E35" s="36">
        <v>0.0390484345472098</v>
      </c>
    </row>
    <row r="36">
      <c r="A36" s="26" t="s">
        <v>108</v>
      </c>
      <c r="B36" s="26">
        <v>32.0</v>
      </c>
      <c r="C36" s="36">
        <v>-0.0540241254915642</v>
      </c>
      <c r="D36" s="36">
        <v>-0.0621032192747267</v>
      </c>
      <c r="E36" s="36">
        <v>3.13774325497437E-5</v>
      </c>
    </row>
    <row r="37">
      <c r="A37" s="26" t="s">
        <v>187</v>
      </c>
      <c r="B37" s="26">
        <v>17.0</v>
      </c>
      <c r="C37" s="36">
        <v>-0.165337609293013</v>
      </c>
      <c r="D37" s="36">
        <v>-0.163376943367005</v>
      </c>
      <c r="E37" s="36">
        <v>1.13067291743017E-18</v>
      </c>
    </row>
    <row r="38">
      <c r="A38" s="26" t="s">
        <v>96</v>
      </c>
      <c r="B38" s="26">
        <v>27.0</v>
      </c>
      <c r="C38" s="36">
        <v>0.0796761177846872</v>
      </c>
      <c r="D38" s="36">
        <v>0.0513733429083311</v>
      </c>
      <c r="E38" s="36">
        <v>9.6505608073488E-4</v>
      </c>
    </row>
    <row r="39">
      <c r="A39" s="26" t="s">
        <v>137</v>
      </c>
      <c r="B39" s="26">
        <v>24.0</v>
      </c>
      <c r="C39" s="36">
        <v>0.163112603932986</v>
      </c>
      <c r="D39" s="36">
        <v>0.136424996301278</v>
      </c>
      <c r="E39" s="36">
        <v>8.97975857114963E-13</v>
      </c>
    </row>
    <row r="40">
      <c r="A40" s="26" t="s">
        <v>119</v>
      </c>
      <c r="B40" s="26">
        <v>39.0</v>
      </c>
      <c r="C40" s="36">
        <v>-0.0410496433683466</v>
      </c>
      <c r="D40" s="36">
        <v>-0.0601305456137199</v>
      </c>
      <c r="E40" s="36">
        <v>1.33229418814128E-8</v>
      </c>
    </row>
    <row r="41">
      <c r="A41" s="26" t="s">
        <v>125</v>
      </c>
      <c r="B41" s="26">
        <v>26.0</v>
      </c>
      <c r="C41" s="36">
        <v>-0.136352972842244</v>
      </c>
      <c r="D41" s="36">
        <v>-0.174941105173248</v>
      </c>
      <c r="E41" s="36">
        <v>8.881786913076E-20</v>
      </c>
    </row>
    <row r="42">
      <c r="A42" s="26" t="s">
        <v>183</v>
      </c>
      <c r="B42" s="26">
        <v>10.0</v>
      </c>
      <c r="C42" s="36">
        <v>0.0435799508225979</v>
      </c>
      <c r="D42" s="36">
        <v>0.00853579325795786</v>
      </c>
      <c r="E42" s="36">
        <v>0.704090665678732</v>
      </c>
    </row>
    <row r="43">
      <c r="A43" s="26" t="s">
        <v>129</v>
      </c>
      <c r="B43" s="26">
        <v>18.0</v>
      </c>
      <c r="C43" s="36">
        <v>-0.0172850663072513</v>
      </c>
      <c r="D43" s="36">
        <v>-0.040740287424208</v>
      </c>
      <c r="E43" s="36">
        <v>0.0329607493518356</v>
      </c>
    </row>
    <row r="44">
      <c r="A44" s="26" t="s">
        <v>179</v>
      </c>
      <c r="B44" s="26">
        <v>22.0</v>
      </c>
      <c r="C44" s="36">
        <v>-0.0687137213803803</v>
      </c>
      <c r="D44" s="36">
        <v>-0.0846564825181232</v>
      </c>
      <c r="E44" s="36">
        <v>8.92406769074496E-10</v>
      </c>
    </row>
    <row r="45">
      <c r="A45" s="26" t="s">
        <v>26</v>
      </c>
      <c r="B45" s="26">
        <v>22.0</v>
      </c>
      <c r="C45" s="36">
        <v>0.119975319428879</v>
      </c>
      <c r="D45" s="36">
        <v>0.0889187167893103</v>
      </c>
      <c r="E45" s="36">
        <v>7.47672692543863E-7</v>
      </c>
    </row>
    <row r="46">
      <c r="A46" s="26" t="s">
        <v>176</v>
      </c>
      <c r="B46" s="26">
        <v>26.0</v>
      </c>
      <c r="C46" s="36">
        <v>-0.0602163549365186</v>
      </c>
      <c r="D46" s="36">
        <v>-0.074496508875016</v>
      </c>
      <c r="E46" s="36">
        <v>3.8269278281748E-7</v>
      </c>
    </row>
    <row r="47">
      <c r="A47" s="26" t="s">
        <v>164</v>
      </c>
      <c r="B47" s="26">
        <v>42.0</v>
      </c>
      <c r="C47" s="36">
        <v>-0.079366074454768</v>
      </c>
      <c r="D47" s="36">
        <v>-0.0943499454769186</v>
      </c>
      <c r="E47" s="36">
        <v>5.25344862421326E-13</v>
      </c>
    </row>
    <row r="48">
      <c r="A48" s="26" t="s">
        <v>168</v>
      </c>
      <c r="B48" s="26">
        <v>51.0</v>
      </c>
      <c r="C48" s="36">
        <v>-0.0408058363864063</v>
      </c>
      <c r="D48" s="36">
        <v>-0.0816965644945529</v>
      </c>
      <c r="E48" s="36">
        <v>4.49019155064527E-14</v>
      </c>
    </row>
    <row r="49">
      <c r="A49" s="26" t="s">
        <v>72</v>
      </c>
      <c r="B49" s="26">
        <v>63.0</v>
      </c>
      <c r="C49" s="36">
        <v>0.111857336235542</v>
      </c>
      <c r="D49" s="36">
        <v>0.0658680274005207</v>
      </c>
      <c r="E49" s="36">
        <v>6.80022715611326E-10</v>
      </c>
    </row>
    <row r="50">
      <c r="A50" s="26" t="s">
        <v>60</v>
      </c>
      <c r="B50" s="26">
        <v>66.0</v>
      </c>
      <c r="C50" s="36">
        <v>0.0524082266904587</v>
      </c>
      <c r="D50" s="36">
        <v>0.0254048510577139</v>
      </c>
      <c r="E50" s="36">
        <v>0.00149489279692859</v>
      </c>
    </row>
    <row r="51">
      <c r="A51" s="26" t="s">
        <v>84</v>
      </c>
      <c r="B51" s="26">
        <v>46.0</v>
      </c>
      <c r="C51" s="36">
        <v>0.0603651726651847</v>
      </c>
      <c r="D51" s="36">
        <v>0.0184993166412745</v>
      </c>
      <c r="E51" s="36">
        <v>0.138936935571074</v>
      </c>
    </row>
    <row r="52">
      <c r="A52" s="26" t="s">
        <v>42</v>
      </c>
      <c r="B52" s="26">
        <v>31.0</v>
      </c>
      <c r="C52" s="36">
        <v>0.0482860914908796</v>
      </c>
      <c r="D52" s="36">
        <v>0.0447503948598826</v>
      </c>
      <c r="E52" s="36">
        <v>0.00358972055189286</v>
      </c>
    </row>
    <row r="53">
      <c r="A53" s="26" t="s">
        <v>150</v>
      </c>
      <c r="B53" s="26">
        <v>16.0</v>
      </c>
      <c r="C53" s="36">
        <v>0.0343059805548131</v>
      </c>
      <c r="D53" s="36">
        <v>-0.00236532701409088</v>
      </c>
      <c r="E53" s="36">
        <v>0.897697950636911</v>
      </c>
    </row>
    <row r="54">
      <c r="A54" s="26" t="s">
        <v>83</v>
      </c>
      <c r="B54" s="26">
        <v>27.0</v>
      </c>
      <c r="C54" s="36">
        <v>0.028788441454604</v>
      </c>
      <c r="D54" s="36">
        <v>0.00102051096570853</v>
      </c>
      <c r="E54" s="36">
        <v>0.9448245593068</v>
      </c>
    </row>
    <row r="55">
      <c r="A55" s="26" t="s">
        <v>94</v>
      </c>
      <c r="B55" s="26">
        <v>12.0</v>
      </c>
      <c r="C55" s="36">
        <v>0.106694977475822</v>
      </c>
      <c r="D55" s="36">
        <v>0.0881454140691666</v>
      </c>
      <c r="E55" s="36">
        <v>1.88293505354124E-5</v>
      </c>
    </row>
    <row r="56">
      <c r="A56" s="26" t="s">
        <v>106</v>
      </c>
      <c r="B56" s="26">
        <v>81.0</v>
      </c>
      <c r="C56" s="36">
        <v>0.0403533208888105</v>
      </c>
      <c r="D56" s="36">
        <v>0.0127354393552702</v>
      </c>
      <c r="E56" s="36">
        <v>0.108039457525285</v>
      </c>
    </row>
    <row r="57">
      <c r="A57" s="26" t="s">
        <v>135</v>
      </c>
      <c r="B57" s="26">
        <v>36.0</v>
      </c>
      <c r="C57" s="36">
        <v>-0.0181413625351929</v>
      </c>
      <c r="D57" s="36">
        <v>-0.0213423650831242</v>
      </c>
      <c r="E57" s="36">
        <v>0.0540943465716425</v>
      </c>
    </row>
    <row r="58">
      <c r="A58" s="26" t="s">
        <v>181</v>
      </c>
      <c r="B58" s="26">
        <v>72.0</v>
      </c>
      <c r="C58" s="36">
        <v>0.0192566965094277</v>
      </c>
      <c r="D58" s="36">
        <v>-0.0206159494736307</v>
      </c>
      <c r="E58" s="36">
        <v>0.0149662135639099</v>
      </c>
    </row>
    <row r="59">
      <c r="A59" s="26" t="s">
        <v>114</v>
      </c>
      <c r="B59" s="26">
        <v>38.0</v>
      </c>
      <c r="C59" s="36">
        <v>-0.131492381809278</v>
      </c>
      <c r="D59" s="36">
        <v>-0.127771278056756</v>
      </c>
      <c r="E59" s="36">
        <v>3.56419692317107E-22</v>
      </c>
    </row>
    <row r="60">
      <c r="A60" s="26" t="s">
        <v>152</v>
      </c>
      <c r="B60" s="26">
        <v>17.0</v>
      </c>
      <c r="C60" s="36">
        <v>-0.0829833351122387</v>
      </c>
      <c r="D60" s="36">
        <v>-0.106856407366765</v>
      </c>
      <c r="E60" s="36">
        <v>6.35316344646605E-9</v>
      </c>
    </row>
    <row r="61">
      <c r="A61" s="26" t="s">
        <v>180</v>
      </c>
      <c r="B61" s="26">
        <v>9.0</v>
      </c>
      <c r="C61" s="36">
        <v>-0.173997495483607</v>
      </c>
      <c r="D61" s="36">
        <v>-0.153230204887274</v>
      </c>
      <c r="E61" s="36">
        <v>1.30533606467329E-10</v>
      </c>
    </row>
    <row r="62">
      <c r="A62" s="26" t="s">
        <v>149</v>
      </c>
      <c r="B62" s="26">
        <v>27.0</v>
      </c>
      <c r="C62" s="36">
        <v>-0.119442240069151</v>
      </c>
      <c r="D62" s="36">
        <v>-0.133352432219636</v>
      </c>
      <c r="E62" s="36">
        <v>9.82359543077273E-17</v>
      </c>
    </row>
    <row r="63">
      <c r="A63" s="26" t="s">
        <v>14</v>
      </c>
      <c r="B63" s="26">
        <v>27.0</v>
      </c>
      <c r="C63" s="36">
        <v>0.0543188535744271</v>
      </c>
      <c r="D63" s="36">
        <v>0.034870321123345</v>
      </c>
      <c r="E63" s="36">
        <v>0.0234891075372928</v>
      </c>
    </row>
    <row r="64">
      <c r="A64" s="26" t="s">
        <v>104</v>
      </c>
      <c r="B64" s="26">
        <v>29.0</v>
      </c>
      <c r="C64" s="36">
        <v>-0.0420214083593132</v>
      </c>
      <c r="D64" s="36">
        <v>-0.032060785305929</v>
      </c>
      <c r="E64" s="36">
        <v>0.00612065050895794</v>
      </c>
    </row>
    <row r="65">
      <c r="A65" s="26" t="s">
        <v>103</v>
      </c>
      <c r="B65" s="26">
        <v>17.0</v>
      </c>
      <c r="C65" s="36">
        <v>-0.103658512891215</v>
      </c>
      <c r="D65" s="36">
        <v>-0.122637496940353</v>
      </c>
      <c r="E65" s="36">
        <v>4.58611701161349E-10</v>
      </c>
    </row>
    <row r="66">
      <c r="A66" s="26" t="s">
        <v>78</v>
      </c>
      <c r="B66" s="26">
        <v>23.0</v>
      </c>
      <c r="C66" s="36">
        <v>0.00707130399270954</v>
      </c>
      <c r="D66" s="36">
        <v>7.06564111286037E-4</v>
      </c>
      <c r="E66" s="36">
        <v>0.958342788088187</v>
      </c>
    </row>
    <row r="67">
      <c r="A67" s="26" t="s">
        <v>32</v>
      </c>
      <c r="B67" s="26">
        <v>19.0</v>
      </c>
      <c r="C67" s="36">
        <v>0.0276278525789072</v>
      </c>
      <c r="D67" s="36">
        <v>0.0149630102978088</v>
      </c>
      <c r="E67" s="36">
        <v>0.376815104385895</v>
      </c>
    </row>
    <row r="68">
      <c r="A68" s="26" t="s">
        <v>86</v>
      </c>
      <c r="B68" s="26">
        <v>18.0</v>
      </c>
      <c r="C68" s="36">
        <v>-0.0327321953262051</v>
      </c>
      <c r="D68" s="36">
        <v>-0.0523968112093866</v>
      </c>
      <c r="E68" s="36">
        <v>0.00616396590783984</v>
      </c>
    </row>
    <row r="69">
      <c r="A69" s="26" t="s">
        <v>121</v>
      </c>
      <c r="B69" s="26">
        <v>12.0</v>
      </c>
      <c r="C69" s="36">
        <v>-0.0326345505422047</v>
      </c>
      <c r="D69" s="36">
        <v>-0.0474441667952951</v>
      </c>
      <c r="E69" s="36">
        <v>0.0100067067743105</v>
      </c>
    </row>
    <row r="70">
      <c r="A70" s="26" t="s">
        <v>102</v>
      </c>
      <c r="B70" s="26">
        <v>17.0</v>
      </c>
      <c r="C70" s="36">
        <v>0.00151129474315639</v>
      </c>
      <c r="D70" s="36">
        <v>-0.0243836447749937</v>
      </c>
      <c r="E70" s="36">
        <v>0.245220417247434</v>
      </c>
    </row>
    <row r="71">
      <c r="A71" s="26" t="s">
        <v>52</v>
      </c>
      <c r="B71" s="26">
        <v>29.0</v>
      </c>
      <c r="C71" s="36">
        <v>0.0307482373404374</v>
      </c>
      <c r="D71" s="36">
        <v>0.0254358506663374</v>
      </c>
      <c r="E71" s="36">
        <v>0.127330619066886</v>
      </c>
    </row>
    <row r="72">
      <c r="A72" s="26" t="s">
        <v>134</v>
      </c>
      <c r="B72" s="26">
        <v>22.0</v>
      </c>
      <c r="C72" s="36">
        <v>-0.0962248727748724</v>
      </c>
      <c r="D72" s="36">
        <v>-0.112473717013717</v>
      </c>
      <c r="E72" s="36">
        <v>3.54735524641096E-12</v>
      </c>
    </row>
    <row r="73">
      <c r="A73" s="26" t="s">
        <v>172</v>
      </c>
      <c r="B73" s="26">
        <v>60.0</v>
      </c>
      <c r="C73" s="36">
        <v>0.0117335899455979</v>
      </c>
      <c r="D73" s="36">
        <v>0.00448009858614554</v>
      </c>
      <c r="E73" s="36">
        <v>0.648964425544813</v>
      </c>
    </row>
    <row r="74">
      <c r="A74" s="26" t="s">
        <v>155</v>
      </c>
      <c r="B74" s="26">
        <v>25.0</v>
      </c>
      <c r="C74" s="36">
        <v>-0.0615718152847191</v>
      </c>
      <c r="D74" s="36">
        <v>-0.0970137216161987</v>
      </c>
      <c r="E74" s="36">
        <v>6.7664934280468E-11</v>
      </c>
    </row>
    <row r="75">
      <c r="A75" s="26" t="s">
        <v>38</v>
      </c>
      <c r="B75" s="26">
        <v>22.0</v>
      </c>
      <c r="C75" s="36">
        <v>0.07077804589675</v>
      </c>
      <c r="D75" s="36">
        <v>0.0547215920012489</v>
      </c>
      <c r="E75" s="36">
        <v>0.0016738115787134</v>
      </c>
    </row>
    <row r="76">
      <c r="A76" s="26" t="s">
        <v>141</v>
      </c>
      <c r="B76" s="26">
        <v>26.0</v>
      </c>
      <c r="C76" s="36">
        <v>0.216762375871481</v>
      </c>
      <c r="D76" s="36">
        <v>0.202040648755305</v>
      </c>
      <c r="E76" s="36">
        <v>1.71315498236362E-27</v>
      </c>
    </row>
    <row r="77">
      <c r="A77" s="26" t="s">
        <v>85</v>
      </c>
      <c r="B77" s="26">
        <v>66.0</v>
      </c>
      <c r="C77" s="36">
        <v>0.0665242621896106</v>
      </c>
      <c r="D77" s="36">
        <v>0.0581283923561087</v>
      </c>
      <c r="E77" s="36">
        <v>3.33758543343207E-7</v>
      </c>
    </row>
    <row r="78">
      <c r="A78" s="26" t="s">
        <v>90</v>
      </c>
      <c r="B78" s="26">
        <v>13.0</v>
      </c>
      <c r="C78" s="36">
        <v>-0.00475388881956048</v>
      </c>
      <c r="D78" s="36">
        <v>-0.0103632009945455</v>
      </c>
      <c r="E78" s="36">
        <v>0.606721097987476</v>
      </c>
    </row>
    <row r="79">
      <c r="A79" s="26" t="s">
        <v>98</v>
      </c>
      <c r="B79" s="26">
        <v>32.0</v>
      </c>
      <c r="C79" s="36">
        <v>-0.034871595947157</v>
      </c>
      <c r="D79" s="36">
        <v>-0.0492487986519387</v>
      </c>
      <c r="E79" s="36">
        <v>4.20397652220895E-5</v>
      </c>
    </row>
    <row r="80">
      <c r="A80" s="26" t="s">
        <v>76</v>
      </c>
      <c r="B80" s="26">
        <v>85.0</v>
      </c>
      <c r="C80" s="36">
        <v>0.013743983260745</v>
      </c>
      <c r="D80" s="36">
        <v>-0.00814322101773457</v>
      </c>
      <c r="E80" s="36">
        <v>0.303676122697245</v>
      </c>
    </row>
    <row r="81">
      <c r="A81" s="26" t="s">
        <v>161</v>
      </c>
      <c r="B81" s="26">
        <v>12.0</v>
      </c>
      <c r="C81" s="36">
        <v>0.016123503831237</v>
      </c>
      <c r="D81" s="36">
        <v>-0.01663433933349</v>
      </c>
      <c r="E81" s="36">
        <v>0.411443996308204</v>
      </c>
    </row>
    <row r="82">
      <c r="A82" s="26" t="s">
        <v>92</v>
      </c>
      <c r="B82" s="26">
        <v>8.0</v>
      </c>
      <c r="C82" s="36">
        <v>-0.139975004098069</v>
      </c>
      <c r="D82" s="36">
        <v>-0.126148743908543</v>
      </c>
      <c r="E82" s="36">
        <v>2.43452499849425E-7</v>
      </c>
    </row>
    <row r="83">
      <c r="A83" s="26" t="s">
        <v>162</v>
      </c>
      <c r="B83" s="26">
        <v>27.0</v>
      </c>
      <c r="C83" s="36">
        <v>0.00534585227000298</v>
      </c>
      <c r="D83" s="36">
        <v>-0.014565817519362</v>
      </c>
      <c r="E83" s="36">
        <v>0.305350287203217</v>
      </c>
    </row>
    <row r="84">
      <c r="A84" s="26" t="s">
        <v>177</v>
      </c>
      <c r="B84" s="26">
        <v>41.0</v>
      </c>
      <c r="C84" s="36">
        <v>0.0461015966844975</v>
      </c>
      <c r="D84" s="36">
        <v>0.0255755623463249</v>
      </c>
      <c r="E84" s="36">
        <v>0.0132991512055668</v>
      </c>
    </row>
    <row r="85">
      <c r="A85" s="26" t="s">
        <v>89</v>
      </c>
      <c r="B85" s="26">
        <v>16.0</v>
      </c>
      <c r="C85" s="36">
        <v>-0.165996098705157</v>
      </c>
      <c r="D85" s="36">
        <v>-0.229595912386951</v>
      </c>
      <c r="E85" s="36">
        <v>1.26895717070464E-23</v>
      </c>
    </row>
    <row r="86">
      <c r="A86" s="26" t="s">
        <v>143</v>
      </c>
      <c r="B86" s="26">
        <v>13.0</v>
      </c>
      <c r="C86" s="36">
        <v>0.0820305494930579</v>
      </c>
      <c r="D86" s="36">
        <v>0.0631355918981978</v>
      </c>
      <c r="E86" s="36">
        <v>2.9509040544872E-4</v>
      </c>
    </row>
    <row r="87">
      <c r="A87" s="26" t="s">
        <v>34</v>
      </c>
      <c r="B87" s="26">
        <v>18.0</v>
      </c>
      <c r="C87" s="36">
        <v>-0.0238173683378286</v>
      </c>
      <c r="D87" s="36">
        <v>-0.041086770453124</v>
      </c>
      <c r="E87" s="36">
        <v>0.0535538440831762</v>
      </c>
    </row>
    <row r="88">
      <c r="A88" s="26" t="s">
        <v>36</v>
      </c>
      <c r="B88" s="26">
        <v>34.0</v>
      </c>
      <c r="C88" s="36">
        <v>-0.0991885406476881</v>
      </c>
      <c r="D88" s="36">
        <v>-0.104486856864551</v>
      </c>
      <c r="E88" s="36">
        <v>3.12332612203351E-17</v>
      </c>
    </row>
    <row r="89">
      <c r="A89" s="26" t="s">
        <v>16</v>
      </c>
      <c r="B89" s="26">
        <v>27.0</v>
      </c>
      <c r="C89" s="36">
        <v>0.0295216540793141</v>
      </c>
      <c r="D89" s="36">
        <v>0.0091667293392513</v>
      </c>
      <c r="E89" s="36">
        <v>0.525102966519108</v>
      </c>
    </row>
    <row r="90">
      <c r="A90" s="26" t="s">
        <v>144</v>
      </c>
      <c r="B90" s="26">
        <v>30.0</v>
      </c>
      <c r="C90" s="36">
        <v>-0.0061335595112112</v>
      </c>
      <c r="D90" s="36">
        <v>-0.042823230206824</v>
      </c>
      <c r="E90" s="36">
        <v>0.0031262687124364</v>
      </c>
    </row>
    <row r="91">
      <c r="A91" s="26" t="s">
        <v>44</v>
      </c>
      <c r="B91" s="26">
        <v>30.0</v>
      </c>
      <c r="C91" s="36">
        <v>0.030282261068609</v>
      </c>
      <c r="D91" s="36">
        <v>0.0279607513261205</v>
      </c>
      <c r="E91" s="36">
        <v>0.0286573191175362</v>
      </c>
    </row>
    <row r="92">
      <c r="A92" s="26" t="s">
        <v>63</v>
      </c>
      <c r="B92" s="26">
        <v>23.0</v>
      </c>
      <c r="C92" s="36">
        <v>-0.0994790069568537</v>
      </c>
      <c r="D92" s="36">
        <v>-0.125516734959391</v>
      </c>
      <c r="E92" s="36">
        <v>9.26392884236813E-12</v>
      </c>
    </row>
    <row r="93">
      <c r="A93" s="26" t="s">
        <v>97</v>
      </c>
      <c r="B93" s="26">
        <v>61.0</v>
      </c>
      <c r="C93" s="36">
        <v>-0.0269593799669031</v>
      </c>
      <c r="D93" s="36">
        <v>-0.0448371832371043</v>
      </c>
      <c r="E93" s="36">
        <v>7.02864290457529E-6</v>
      </c>
    </row>
    <row r="94">
      <c r="A94" s="26" t="s">
        <v>158</v>
      </c>
      <c r="B94" s="26">
        <v>23.0</v>
      </c>
      <c r="C94" s="36">
        <v>-0.130821928229343</v>
      </c>
      <c r="D94" s="36">
        <v>-0.142763194532172</v>
      </c>
      <c r="E94" s="36">
        <v>2.43689322713044E-18</v>
      </c>
    </row>
    <row r="95">
      <c r="A95" s="26" t="s">
        <v>156</v>
      </c>
      <c r="B95" s="26">
        <v>16.0</v>
      </c>
      <c r="C95" s="36">
        <v>0.0133717067291775</v>
      </c>
      <c r="D95" s="36">
        <v>-0.0426224677838569</v>
      </c>
      <c r="E95" s="36">
        <v>0.0245167595361644</v>
      </c>
    </row>
    <row r="96">
      <c r="A96" s="26" t="s">
        <v>117</v>
      </c>
      <c r="B96" s="26">
        <v>16.0</v>
      </c>
      <c r="C96" s="36">
        <v>-0.16098547195614</v>
      </c>
      <c r="D96" s="36">
        <v>-0.159574040158826</v>
      </c>
      <c r="E96" s="36">
        <v>4.1732651655994E-15</v>
      </c>
    </row>
    <row r="97">
      <c r="A97" s="26" t="s">
        <v>136</v>
      </c>
      <c r="B97" s="26">
        <v>68.0</v>
      </c>
      <c r="C97" s="36">
        <v>0.0634449218035718</v>
      </c>
      <c r="D97" s="36">
        <v>0.0427064027815497</v>
      </c>
      <c r="E97" s="36">
        <v>7.50230019725397E-7</v>
      </c>
    </row>
    <row r="98">
      <c r="A98" s="26" t="s">
        <v>169</v>
      </c>
      <c r="B98" s="26">
        <v>8.0</v>
      </c>
      <c r="C98" s="36">
        <v>-0.0194241079548321</v>
      </c>
      <c r="D98" s="36">
        <v>-0.0306559153506479</v>
      </c>
      <c r="E98" s="36">
        <v>0.143534760383389</v>
      </c>
    </row>
    <row r="99">
      <c r="A99" s="26" t="s">
        <v>146</v>
      </c>
      <c r="B99" s="26">
        <v>42.0</v>
      </c>
      <c r="C99" s="36">
        <v>-0.041286746222882</v>
      </c>
      <c r="D99" s="36">
        <v>-0.0866221953451293</v>
      </c>
      <c r="E99" s="36">
        <v>7.05648757877178E-11</v>
      </c>
    </row>
    <row r="100">
      <c r="A100" s="26" t="s">
        <v>91</v>
      </c>
      <c r="B100" s="26">
        <v>94.0</v>
      </c>
      <c r="C100" s="36">
        <v>0.00543957327662336</v>
      </c>
      <c r="D100" s="36">
        <v>-0.0242467675327206</v>
      </c>
      <c r="E100" s="36">
        <v>4.81994255337062E-4</v>
      </c>
    </row>
    <row r="101">
      <c r="A101" s="26" t="s">
        <v>131</v>
      </c>
      <c r="B101" s="26">
        <v>32.0</v>
      </c>
      <c r="C101" s="36">
        <v>0.0189232990579659</v>
      </c>
      <c r="D101" s="36">
        <v>-0.00244161117789538</v>
      </c>
      <c r="E101" s="36">
        <v>0.85308920284802</v>
      </c>
    </row>
    <row r="102">
      <c r="A102" s="26" t="s">
        <v>95</v>
      </c>
      <c r="B102" s="26">
        <v>28.0</v>
      </c>
      <c r="C102" s="36">
        <v>0.090154220315011</v>
      </c>
      <c r="D102" s="36">
        <v>0.0628800771543576</v>
      </c>
      <c r="E102" s="36">
        <v>2.48595466217125E-5</v>
      </c>
    </row>
    <row r="103">
      <c r="A103" s="26" t="s">
        <v>142</v>
      </c>
      <c r="B103" s="26">
        <v>48.0</v>
      </c>
      <c r="C103" s="36">
        <v>-0.0280258117852051</v>
      </c>
      <c r="D103" s="36">
        <v>-0.0458347151128825</v>
      </c>
      <c r="E103" s="36">
        <v>7.68606076466431E-5</v>
      </c>
    </row>
    <row r="104">
      <c r="A104" s="26" t="s">
        <v>50</v>
      </c>
      <c r="B104" s="26">
        <v>49.0</v>
      </c>
      <c r="C104" s="36">
        <v>0.120048818010002</v>
      </c>
      <c r="D104" s="36">
        <v>0.091008381031151</v>
      </c>
      <c r="E104" s="36">
        <v>3.04640085372887E-11</v>
      </c>
    </row>
    <row r="105">
      <c r="A105" s="26" t="s">
        <v>178</v>
      </c>
      <c r="B105" s="26">
        <v>26.0</v>
      </c>
      <c r="C105" s="36">
        <v>0.00498855400183825</v>
      </c>
      <c r="D105" s="36">
        <v>-0.00241495215622479</v>
      </c>
      <c r="E105" s="36">
        <v>0.8520845979324</v>
      </c>
    </row>
    <row r="106">
      <c r="A106" s="26" t="s">
        <v>120</v>
      </c>
      <c r="B106" s="26">
        <v>10.0</v>
      </c>
      <c r="C106" s="36">
        <v>0.0365011475178725</v>
      </c>
      <c r="D106" s="36">
        <v>0.0148013683631397</v>
      </c>
      <c r="E106" s="36">
        <v>0.475749773251427</v>
      </c>
    </row>
    <row r="107">
      <c r="A107" s="26" t="s">
        <v>88</v>
      </c>
      <c r="B107" s="26">
        <v>38.0</v>
      </c>
      <c r="C107" s="36">
        <v>-0.0827021276388291</v>
      </c>
      <c r="D107" s="36">
        <v>-0.0893637479788941</v>
      </c>
      <c r="E107" s="36">
        <v>8.75261913190441E-13</v>
      </c>
    </row>
    <row r="108">
      <c r="A108" s="26" t="s">
        <v>151</v>
      </c>
      <c r="B108" s="26">
        <v>17.0</v>
      </c>
      <c r="C108" s="36">
        <v>-0.170799943335513</v>
      </c>
      <c r="D108" s="36">
        <v>-0.197288613647819</v>
      </c>
      <c r="E108" s="36">
        <v>6.75073811604713E-18</v>
      </c>
    </row>
    <row r="109">
      <c r="A109" s="26" t="s">
        <v>167</v>
      </c>
      <c r="B109" s="26">
        <v>28.0</v>
      </c>
      <c r="C109" s="36">
        <v>-0.0325610865163562</v>
      </c>
      <c r="D109" s="36">
        <v>-0.0548639963184694</v>
      </c>
      <c r="E109" s="36">
        <v>6.13041259362698E-5</v>
      </c>
    </row>
    <row r="110">
      <c r="A110" s="26" t="s">
        <v>28</v>
      </c>
      <c r="B110" s="26">
        <v>18.0</v>
      </c>
      <c r="C110" s="36">
        <v>0.0483492956287661</v>
      </c>
      <c r="D110" s="36">
        <v>-0.0018334679959632</v>
      </c>
      <c r="E110" s="36">
        <v>0.906701357532607</v>
      </c>
    </row>
    <row r="111">
      <c r="A111" s="26" t="s">
        <v>70</v>
      </c>
      <c r="B111" s="26">
        <v>26.0</v>
      </c>
      <c r="C111" s="36">
        <v>-0.0204008811089452</v>
      </c>
      <c r="D111" s="36">
        <v>-0.0459338784970513</v>
      </c>
      <c r="E111" s="36">
        <v>9.59893906375484E-4</v>
      </c>
    </row>
    <row r="112">
      <c r="A112" s="26" t="s">
        <v>20</v>
      </c>
      <c r="B112" s="26">
        <v>32.0</v>
      </c>
      <c r="C112" s="36">
        <v>7.47450694892714E-4</v>
      </c>
      <c r="D112" s="36">
        <v>-0.00651596523822828</v>
      </c>
      <c r="E112" s="36">
        <v>0.625353928434256</v>
      </c>
    </row>
    <row r="113">
      <c r="A113" s="26" t="s">
        <v>71</v>
      </c>
      <c r="B113" s="26">
        <v>30.0</v>
      </c>
      <c r="C113" s="36">
        <v>-0.0288442262659084</v>
      </c>
      <c r="D113" s="36">
        <v>-0.0541614308058829</v>
      </c>
      <c r="E113" s="36">
        <v>2.57913484878073E-4</v>
      </c>
    </row>
    <row r="114">
      <c r="A114" s="26" t="s">
        <v>67</v>
      </c>
      <c r="B114" s="26">
        <v>17.0</v>
      </c>
      <c r="C114" s="36">
        <v>0.0135843271772871</v>
      </c>
      <c r="D114" s="36">
        <v>0.0171524477366359</v>
      </c>
      <c r="E114" s="36">
        <v>0.355558592674197</v>
      </c>
    </row>
    <row r="115">
      <c r="A115" s="26" t="s">
        <v>148</v>
      </c>
      <c r="B115" s="26">
        <v>21.0</v>
      </c>
      <c r="C115" s="36">
        <v>-0.269386209758924</v>
      </c>
      <c r="D115" s="36">
        <v>-0.26812552324571</v>
      </c>
      <c r="E115" s="36">
        <v>3.36863081789293E-36</v>
      </c>
    </row>
    <row r="116">
      <c r="A116" s="26" t="s">
        <v>81</v>
      </c>
      <c r="B116" s="26">
        <v>58.0</v>
      </c>
      <c r="C116" s="36">
        <v>0.0169528809122764</v>
      </c>
      <c r="D116" s="36">
        <v>0.00735293634400519</v>
      </c>
      <c r="E116" s="36">
        <v>0.435966243251461</v>
      </c>
    </row>
    <row r="117">
      <c r="A117" s="26" t="s">
        <v>40</v>
      </c>
      <c r="B117" s="26">
        <v>27.0</v>
      </c>
      <c r="C117" s="36">
        <v>0.147260816012972</v>
      </c>
      <c r="D117" s="36">
        <v>0.125942298753271</v>
      </c>
      <c r="E117" s="36">
        <v>7.55116641496616E-17</v>
      </c>
    </row>
    <row r="118">
      <c r="A118" s="26" t="s">
        <v>110</v>
      </c>
      <c r="B118" s="26">
        <v>25.0</v>
      </c>
      <c r="C118" s="36">
        <v>-0.0105361937085184</v>
      </c>
      <c r="D118" s="36">
        <v>-0.0263495817469451</v>
      </c>
      <c r="E118" s="36">
        <v>0.0522314650754849</v>
      </c>
    </row>
    <row r="119">
      <c r="A119" s="26" t="s">
        <v>166</v>
      </c>
      <c r="B119" s="26">
        <v>35.0</v>
      </c>
      <c r="C119" s="36">
        <v>-0.229694442470939</v>
      </c>
      <c r="D119" s="36">
        <v>-0.249548370068342</v>
      </c>
      <c r="E119" s="36">
        <v>1.53319071457019E-42</v>
      </c>
    </row>
    <row r="120">
      <c r="A120" s="26" t="s">
        <v>99</v>
      </c>
      <c r="B120" s="26">
        <v>12.0</v>
      </c>
      <c r="C120" s="36">
        <v>0.00896998296601821</v>
      </c>
      <c r="D120" s="36">
        <v>0.00320464042125393</v>
      </c>
      <c r="E120" s="36">
        <v>0.878211318306088</v>
      </c>
    </row>
    <row r="121">
      <c r="A121" s="26" t="s">
        <v>73</v>
      </c>
      <c r="B121" s="26">
        <v>51.0</v>
      </c>
      <c r="C121" s="36">
        <v>-8.67544380326988E-4</v>
      </c>
      <c r="D121" s="36">
        <v>-0.043898295695729</v>
      </c>
      <c r="E121" s="36">
        <v>7.43612871039171E-5</v>
      </c>
    </row>
    <row r="122">
      <c r="A122" s="26" t="s">
        <v>116</v>
      </c>
      <c r="B122" s="26">
        <v>50.0</v>
      </c>
      <c r="C122" s="36">
        <v>-0.0207622677767203</v>
      </c>
      <c r="D122" s="36">
        <v>-0.062232511118196</v>
      </c>
      <c r="E122" s="36">
        <v>2.90766482285492E-8</v>
      </c>
    </row>
    <row r="123">
      <c r="A123" s="26" t="s">
        <v>82</v>
      </c>
      <c r="B123" s="26">
        <v>26.0</v>
      </c>
      <c r="C123" s="36">
        <v>0.0678868895261099</v>
      </c>
      <c r="D123" s="36">
        <v>0.0176329255813928</v>
      </c>
      <c r="E123" s="36">
        <v>0.232663780078856</v>
      </c>
    </row>
    <row r="124">
      <c r="A124" s="26" t="s">
        <v>190</v>
      </c>
      <c r="B124" s="26">
        <v>12.0</v>
      </c>
      <c r="C124" s="36">
        <v>0.185606418412953</v>
      </c>
      <c r="D124" s="36">
        <v>0.145308088951587</v>
      </c>
      <c r="E124" s="36">
        <v>1.30812632296447E-10</v>
      </c>
    </row>
    <row r="125">
      <c r="A125" s="26" t="s">
        <v>132</v>
      </c>
      <c r="B125" s="26">
        <v>25.0</v>
      </c>
      <c r="C125" s="36">
        <v>0.0366420001465711</v>
      </c>
      <c r="D125" s="36">
        <v>-0.00146981779896877</v>
      </c>
      <c r="E125" s="36">
        <v>0.91082927934291</v>
      </c>
    </row>
    <row r="126">
      <c r="A126" s="26" t="s">
        <v>79</v>
      </c>
      <c r="B126" s="26">
        <v>34.0</v>
      </c>
      <c r="C126" s="36">
        <v>0.0428574899223999</v>
      </c>
      <c r="D126" s="36">
        <v>0.0195267489816976</v>
      </c>
      <c r="E126" s="36">
        <v>0.167340168098062</v>
      </c>
    </row>
    <row r="127">
      <c r="A127" s="26" t="s">
        <v>101</v>
      </c>
      <c r="B127" s="26">
        <v>28.0</v>
      </c>
      <c r="C127" s="36">
        <v>0.0412423558898894</v>
      </c>
      <c r="D127" s="36">
        <v>0.0345882993956321</v>
      </c>
      <c r="E127" s="36">
        <v>0.0096279525029675</v>
      </c>
    </row>
    <row r="128">
      <c r="A128" s="26" t="s">
        <v>123</v>
      </c>
      <c r="B128" s="26">
        <v>22.0</v>
      </c>
      <c r="C128" s="36">
        <v>0.0896028286507253</v>
      </c>
      <c r="D128" s="36">
        <v>0.0600732212328167</v>
      </c>
      <c r="E128" s="36">
        <v>7.78809357227009E-5</v>
      </c>
    </row>
    <row r="129">
      <c r="A129" s="26" t="s">
        <v>46</v>
      </c>
      <c r="B129" s="26">
        <v>29.0</v>
      </c>
      <c r="C129" s="36">
        <v>0.0602189548102557</v>
      </c>
      <c r="D129" s="36">
        <v>0.0646300568361859</v>
      </c>
      <c r="E129" s="36">
        <v>1.36751688640572E-9</v>
      </c>
    </row>
    <row r="130">
      <c r="A130" s="26" t="s">
        <v>18</v>
      </c>
      <c r="B130" s="26">
        <v>22.0</v>
      </c>
      <c r="C130" s="36">
        <v>-0.0320512997911093</v>
      </c>
      <c r="D130" s="36">
        <v>-0.0425844174616752</v>
      </c>
      <c r="E130" s="36">
        <v>0.00985677245404552</v>
      </c>
    </row>
    <row r="131">
      <c r="A131" s="26" t="s">
        <v>153</v>
      </c>
      <c r="B131" s="26">
        <v>5.0</v>
      </c>
      <c r="C131" s="36">
        <v>-0.185505354089382</v>
      </c>
      <c r="D131" s="36">
        <v>-0.173697323171142</v>
      </c>
      <c r="E131" s="36">
        <v>3.21692724768571E-9</v>
      </c>
    </row>
    <row r="132">
      <c r="A132" s="26" t="s">
        <v>165</v>
      </c>
      <c r="B132" s="26">
        <v>52.0</v>
      </c>
      <c r="C132" s="36">
        <v>0.0891847142671096</v>
      </c>
      <c r="D132" s="36">
        <v>0.00587739545788233</v>
      </c>
      <c r="E132" s="36">
        <v>0.58945711207379</v>
      </c>
    </row>
    <row r="133">
      <c r="A133" s="26" t="s">
        <v>157</v>
      </c>
      <c r="B133" s="26">
        <v>32.0</v>
      </c>
      <c r="C133" s="36">
        <v>0.155968597622728</v>
      </c>
      <c r="D133" s="36">
        <v>0.113040414503217</v>
      </c>
      <c r="E133" s="36">
        <v>3.65178680680346E-13</v>
      </c>
    </row>
    <row r="134">
      <c r="A134" s="26" t="s">
        <v>188</v>
      </c>
      <c r="B134" s="26">
        <v>3.0</v>
      </c>
      <c r="C134" s="36">
        <v>-0.400787674743557</v>
      </c>
      <c r="D134" s="36">
        <v>-0.417883496317887</v>
      </c>
      <c r="E134" s="36">
        <v>7.55438718870497E-25</v>
      </c>
    </row>
    <row r="135">
      <c r="A135" s="26" t="s">
        <v>182</v>
      </c>
      <c r="B135" s="26">
        <v>14.0</v>
      </c>
      <c r="C135" s="36">
        <v>-0.179276908664265</v>
      </c>
      <c r="D135" s="36">
        <v>-0.227941028663589</v>
      </c>
      <c r="E135" s="36">
        <v>1.61250473475084E-21</v>
      </c>
    </row>
    <row r="136">
      <c r="A136" s="26" t="s">
        <v>175</v>
      </c>
      <c r="B136" s="26">
        <v>42.0</v>
      </c>
      <c r="C136" s="36">
        <v>0.0338042207267899</v>
      </c>
      <c r="D136" s="36">
        <v>-0.0266269043308051</v>
      </c>
      <c r="E136" s="36">
        <v>0.0316835052699953</v>
      </c>
    </row>
    <row r="137">
      <c r="A137" s="26" t="s">
        <v>66</v>
      </c>
      <c r="B137" s="26">
        <v>72.0</v>
      </c>
      <c r="C137" s="36">
        <v>0.0531544995781885</v>
      </c>
      <c r="D137" s="36">
        <v>0.00245722487186214</v>
      </c>
      <c r="E137" s="36">
        <v>0.797490468869749</v>
      </c>
    </row>
    <row r="138">
      <c r="A138" s="26" t="s">
        <v>22</v>
      </c>
      <c r="B138" s="26">
        <v>36.0</v>
      </c>
      <c r="C138" s="36">
        <v>0.0317493360053024</v>
      </c>
      <c r="D138" s="36">
        <v>-0.0034167315305831</v>
      </c>
      <c r="E138" s="36">
        <v>0.785819132325658</v>
      </c>
    </row>
    <row r="139">
      <c r="A139" s="26" t="s">
        <v>65</v>
      </c>
      <c r="B139" s="26">
        <v>59.0</v>
      </c>
      <c r="C139" s="36">
        <v>0.0605493901689596</v>
      </c>
      <c r="D139" s="36">
        <v>0.0267837489169702</v>
      </c>
      <c r="E139" s="36">
        <v>0.0114908175606638</v>
      </c>
    </row>
    <row r="140">
      <c r="A140" s="26" t="s">
        <v>113</v>
      </c>
      <c r="B140" s="26">
        <v>28.0</v>
      </c>
      <c r="C140" s="36">
        <v>-0.00424194669931808</v>
      </c>
      <c r="D140" s="36">
        <v>-0.0301146743205317</v>
      </c>
      <c r="E140" s="36">
        <v>0.0117466540819343</v>
      </c>
    </row>
    <row r="141">
      <c r="A141" s="26" t="s">
        <v>93</v>
      </c>
      <c r="B141" s="26">
        <v>30.0</v>
      </c>
      <c r="C141" s="36">
        <v>0.185800895587041</v>
      </c>
      <c r="D141" s="36">
        <v>0.170621007277751</v>
      </c>
      <c r="E141" s="36">
        <v>1.49614259974334E-17</v>
      </c>
    </row>
    <row r="142">
      <c r="A142" s="26" t="s">
        <v>128</v>
      </c>
      <c r="B142" s="26">
        <v>60.0</v>
      </c>
      <c r="C142" s="36">
        <v>0.0753314460072408</v>
      </c>
      <c r="D142" s="36">
        <v>0.0624624159147084</v>
      </c>
      <c r="E142" s="36">
        <v>8.50790091411115E-12</v>
      </c>
    </row>
    <row r="143">
      <c r="A143" s="26" t="s">
        <v>115</v>
      </c>
      <c r="B143" s="26">
        <v>14.0</v>
      </c>
      <c r="C143" s="36">
        <v>-0.0768318988373167</v>
      </c>
      <c r="D143" s="36">
        <v>-0.0929465075200088</v>
      </c>
      <c r="E143" s="36">
        <v>8.64780527324003E-6</v>
      </c>
    </row>
    <row r="144">
      <c r="A144" s="26" t="s">
        <v>24</v>
      </c>
      <c r="B144" s="26">
        <v>50.0</v>
      </c>
      <c r="C144" s="36">
        <v>0.0409192025292303</v>
      </c>
      <c r="D144" s="36">
        <v>-0.0276172252904984</v>
      </c>
      <c r="E144" s="36">
        <v>0.0129314108621199</v>
      </c>
    </row>
    <row r="145">
      <c r="A145" s="26" t="s">
        <v>56</v>
      </c>
      <c r="B145" s="26">
        <v>23.0</v>
      </c>
      <c r="C145" s="36">
        <v>-0.0643118304834215</v>
      </c>
      <c r="D145" s="36">
        <v>-0.111322395968578</v>
      </c>
      <c r="E145" s="36">
        <v>5.59063727098499E-8</v>
      </c>
    </row>
    <row r="146">
      <c r="A146" s="26" t="s">
        <v>68</v>
      </c>
      <c r="B146" s="26">
        <v>42.0</v>
      </c>
      <c r="C146" s="36">
        <v>0.108868008985036</v>
      </c>
      <c r="D146" s="36">
        <v>0.0437072013132128</v>
      </c>
      <c r="E146" s="36">
        <v>0.00129063019090271</v>
      </c>
    </row>
    <row r="147">
      <c r="A147" s="26" t="s">
        <v>87</v>
      </c>
      <c r="B147" s="26">
        <v>60.0</v>
      </c>
      <c r="C147" s="36">
        <v>-0.0725074256663149</v>
      </c>
      <c r="D147" s="36">
        <v>-0.127179101503603</v>
      </c>
      <c r="E147" s="36">
        <v>6.82587083315306E-23</v>
      </c>
    </row>
    <row r="148">
      <c r="A148" s="26" t="s">
        <v>122</v>
      </c>
      <c r="B148" s="26">
        <v>38.0</v>
      </c>
      <c r="C148" s="36">
        <v>0.0248884077289321</v>
      </c>
      <c r="D148" s="36">
        <v>-0.00921846453320687</v>
      </c>
      <c r="E148" s="36">
        <v>0.385832579622469</v>
      </c>
    </row>
    <row r="149">
      <c r="A149" s="26" t="s">
        <v>54</v>
      </c>
      <c r="B149" s="26">
        <v>62.0</v>
      </c>
      <c r="C149" s="36">
        <v>0.0497204511030405</v>
      </c>
      <c r="D149" s="36">
        <v>0.0312863868854077</v>
      </c>
      <c r="E149" s="36">
        <v>0.00210830639873404</v>
      </c>
    </row>
    <row r="150">
      <c r="A150" s="26" t="s">
        <v>58</v>
      </c>
      <c r="B150" s="26">
        <v>31.0</v>
      </c>
      <c r="C150" s="36">
        <v>-0.16080133759388</v>
      </c>
      <c r="D150" s="36">
        <v>-0.177326952143917</v>
      </c>
      <c r="E150" s="36">
        <v>2.10891711025233E-25</v>
      </c>
    </row>
    <row r="151">
      <c r="A151" s="26" t="s">
        <v>111</v>
      </c>
      <c r="B151" s="26">
        <v>19.0</v>
      </c>
      <c r="C151" s="36">
        <v>0.0975921020517367</v>
      </c>
      <c r="D151" s="36">
        <v>0.112217476277538</v>
      </c>
      <c r="E151" s="36">
        <v>5.49071387657768E-15</v>
      </c>
    </row>
    <row r="152">
      <c r="A152" s="26" t="s">
        <v>62</v>
      </c>
      <c r="B152" s="26">
        <v>54.0</v>
      </c>
      <c r="C152" s="36">
        <v>0.0614544466615482</v>
      </c>
      <c r="D152" s="36">
        <v>0.045492750038724</v>
      </c>
      <c r="E152" s="36">
        <v>3.68959150520434E-5</v>
      </c>
    </row>
    <row r="153">
      <c r="A153" s="26" t="s">
        <v>189</v>
      </c>
      <c r="B153" s="26">
        <v>7.0</v>
      </c>
      <c r="C153" s="36">
        <v>-0.249630332822414</v>
      </c>
      <c r="D153" s="36">
        <v>-0.294798450905465</v>
      </c>
      <c r="E153" s="36">
        <v>8.72812458004566E-21</v>
      </c>
    </row>
    <row r="154">
      <c r="A154" s="26" t="s">
        <v>184</v>
      </c>
      <c r="B154" s="26">
        <v>23.0</v>
      </c>
      <c r="C154" s="36">
        <v>0.0233444095567701</v>
      </c>
      <c r="D154" s="36">
        <v>0.00605591928047232</v>
      </c>
      <c r="E154" s="36">
        <v>0.67438022644193</v>
      </c>
    </row>
    <row r="155">
      <c r="C155" s="13"/>
      <c r="D155" s="13"/>
      <c r="E155" s="13"/>
    </row>
    <row r="156">
      <c r="C156" s="13"/>
      <c r="D156" s="13"/>
      <c r="E156" s="13"/>
    </row>
    <row r="157">
      <c r="C157" s="13"/>
      <c r="D157" s="13"/>
      <c r="E157" s="13"/>
    </row>
    <row r="158">
      <c r="C158" s="13"/>
      <c r="D158" s="13"/>
      <c r="E158" s="13"/>
    </row>
    <row r="159">
      <c r="C159" s="13"/>
      <c r="D159" s="13"/>
      <c r="E159" s="13"/>
    </row>
    <row r="160">
      <c r="C160" s="13"/>
      <c r="D160" s="13"/>
      <c r="E160" s="13"/>
    </row>
    <row r="161">
      <c r="C161" s="13"/>
      <c r="D161" s="13"/>
      <c r="E161" s="13"/>
    </row>
    <row r="162">
      <c r="C162" s="13"/>
      <c r="D162" s="13"/>
      <c r="E162" s="13"/>
    </row>
    <row r="163">
      <c r="C163" s="13"/>
      <c r="D163" s="13"/>
      <c r="E163" s="13"/>
    </row>
    <row r="164">
      <c r="C164" s="13"/>
      <c r="D164" s="13"/>
      <c r="E164" s="13"/>
    </row>
    <row r="165">
      <c r="C165" s="13"/>
      <c r="D165" s="13"/>
      <c r="E165" s="13"/>
    </row>
    <row r="166">
      <c r="C166" s="13"/>
      <c r="D166" s="13"/>
      <c r="E166" s="13"/>
    </row>
    <row r="167">
      <c r="C167" s="13"/>
      <c r="D167" s="13"/>
      <c r="E167" s="13"/>
    </row>
    <row r="168">
      <c r="C168" s="13"/>
      <c r="D168" s="13"/>
      <c r="E168" s="13"/>
    </row>
    <row r="169">
      <c r="C169" s="13"/>
      <c r="D169" s="13"/>
      <c r="E169" s="13"/>
    </row>
    <row r="170">
      <c r="C170" s="13"/>
      <c r="D170" s="13"/>
      <c r="E170" s="13"/>
    </row>
    <row r="171">
      <c r="C171" s="13"/>
      <c r="D171" s="13"/>
      <c r="E171" s="13"/>
    </row>
    <row r="172">
      <c r="C172" s="13"/>
      <c r="D172" s="13"/>
      <c r="E172" s="13"/>
    </row>
    <row r="173">
      <c r="C173" s="13"/>
      <c r="D173" s="13"/>
      <c r="E173" s="13"/>
    </row>
    <row r="174">
      <c r="C174" s="13"/>
      <c r="D174" s="13"/>
      <c r="E174" s="13"/>
    </row>
    <row r="175">
      <c r="C175" s="13"/>
      <c r="D175" s="13"/>
      <c r="E175" s="13"/>
    </row>
    <row r="176">
      <c r="C176" s="13"/>
      <c r="D176" s="13"/>
      <c r="E176" s="13"/>
    </row>
    <row r="177">
      <c r="C177" s="13"/>
      <c r="D177" s="13"/>
      <c r="E177" s="13"/>
    </row>
    <row r="178">
      <c r="C178" s="13"/>
      <c r="D178" s="13"/>
      <c r="E178" s="13"/>
    </row>
    <row r="179">
      <c r="C179" s="13"/>
      <c r="D179" s="13"/>
      <c r="E179" s="13"/>
    </row>
    <row r="180">
      <c r="C180" s="13"/>
      <c r="D180" s="13"/>
      <c r="E180" s="13"/>
    </row>
    <row r="181">
      <c r="C181" s="13"/>
      <c r="D181" s="13"/>
      <c r="E181" s="13"/>
    </row>
    <row r="182">
      <c r="C182" s="13"/>
      <c r="D182" s="13"/>
      <c r="E182" s="13"/>
    </row>
    <row r="183">
      <c r="C183" s="13"/>
      <c r="D183" s="13"/>
      <c r="E183" s="13"/>
    </row>
    <row r="184">
      <c r="C184" s="13"/>
      <c r="D184" s="13"/>
      <c r="E184" s="13"/>
    </row>
    <row r="185">
      <c r="C185" s="13"/>
      <c r="D185" s="13"/>
      <c r="E185" s="13"/>
    </row>
    <row r="186">
      <c r="C186" s="13"/>
      <c r="D186" s="13"/>
      <c r="E186" s="13"/>
    </row>
    <row r="187">
      <c r="C187" s="13"/>
      <c r="D187" s="13"/>
      <c r="E187" s="13"/>
    </row>
    <row r="188">
      <c r="C188" s="13"/>
      <c r="D188" s="13"/>
      <c r="E188" s="13"/>
    </row>
    <row r="189">
      <c r="C189" s="13"/>
      <c r="D189" s="13"/>
      <c r="E189" s="13"/>
    </row>
    <row r="190">
      <c r="C190" s="13"/>
      <c r="D190" s="13"/>
      <c r="E190" s="13"/>
    </row>
    <row r="191">
      <c r="C191" s="13"/>
      <c r="D191" s="13"/>
      <c r="E191" s="13"/>
    </row>
    <row r="192">
      <c r="C192" s="13"/>
      <c r="D192" s="13"/>
      <c r="E192" s="13"/>
    </row>
    <row r="193">
      <c r="C193" s="13"/>
      <c r="D193" s="13"/>
      <c r="E193" s="13"/>
    </row>
    <row r="194">
      <c r="C194" s="13"/>
      <c r="D194" s="13"/>
      <c r="E194" s="13"/>
    </row>
    <row r="195">
      <c r="C195" s="13"/>
      <c r="D195" s="13"/>
      <c r="E195" s="13"/>
    </row>
    <row r="196">
      <c r="C196" s="13"/>
      <c r="D196" s="13"/>
      <c r="E196" s="13"/>
    </row>
    <row r="197">
      <c r="C197" s="13"/>
      <c r="D197" s="13"/>
      <c r="E197" s="13"/>
    </row>
    <row r="198">
      <c r="C198" s="13"/>
      <c r="D198" s="13"/>
      <c r="E198" s="13"/>
    </row>
    <row r="199">
      <c r="C199" s="13"/>
      <c r="D199" s="13"/>
      <c r="E199" s="13"/>
    </row>
    <row r="200">
      <c r="C200" s="13"/>
      <c r="D200" s="13"/>
      <c r="E200" s="13"/>
    </row>
    <row r="201">
      <c r="C201" s="13"/>
      <c r="D201" s="13"/>
      <c r="E201" s="13"/>
    </row>
    <row r="202">
      <c r="C202" s="13"/>
      <c r="D202" s="13"/>
      <c r="E202" s="13"/>
    </row>
    <row r="203">
      <c r="C203" s="13"/>
      <c r="D203" s="13"/>
      <c r="E203" s="13"/>
    </row>
    <row r="204">
      <c r="C204" s="13"/>
      <c r="D204" s="13"/>
      <c r="E204" s="13"/>
    </row>
    <row r="205">
      <c r="C205" s="13"/>
      <c r="D205" s="13"/>
      <c r="E205" s="13"/>
    </row>
    <row r="206">
      <c r="C206" s="13"/>
      <c r="D206" s="13"/>
      <c r="E206" s="13"/>
    </row>
    <row r="207">
      <c r="C207" s="13"/>
      <c r="D207" s="13"/>
      <c r="E207" s="13"/>
    </row>
    <row r="208">
      <c r="C208" s="13"/>
      <c r="D208" s="13"/>
      <c r="E208" s="13"/>
    </row>
    <row r="209">
      <c r="C209" s="13"/>
      <c r="D209" s="13"/>
      <c r="E209" s="13"/>
    </row>
    <row r="210">
      <c r="C210" s="13"/>
      <c r="D210" s="13"/>
      <c r="E210" s="13"/>
    </row>
    <row r="211">
      <c r="C211" s="13"/>
      <c r="D211" s="13"/>
      <c r="E211" s="13"/>
    </row>
    <row r="212">
      <c r="C212" s="13"/>
      <c r="D212" s="13"/>
      <c r="E212" s="13"/>
    </row>
    <row r="213">
      <c r="C213" s="13"/>
      <c r="D213" s="13"/>
      <c r="E213" s="13"/>
    </row>
    <row r="214">
      <c r="C214" s="13"/>
      <c r="D214" s="13"/>
      <c r="E214" s="13"/>
    </row>
    <row r="215">
      <c r="C215" s="13"/>
      <c r="D215" s="13"/>
      <c r="E215" s="13"/>
    </row>
    <row r="216">
      <c r="C216" s="13"/>
      <c r="D216" s="13"/>
      <c r="E216" s="13"/>
    </row>
    <row r="217">
      <c r="C217" s="13"/>
      <c r="D217" s="13"/>
      <c r="E217" s="13"/>
    </row>
    <row r="218">
      <c r="C218" s="13"/>
      <c r="D218" s="13"/>
      <c r="E218" s="13"/>
    </row>
    <row r="219">
      <c r="C219" s="13"/>
      <c r="D219" s="13"/>
      <c r="E219" s="13"/>
    </row>
    <row r="220">
      <c r="C220" s="13"/>
      <c r="D220" s="13"/>
      <c r="E220" s="13"/>
    </row>
    <row r="221">
      <c r="C221" s="13"/>
      <c r="D221" s="13"/>
      <c r="E221" s="13"/>
    </row>
    <row r="222">
      <c r="C222" s="13"/>
      <c r="D222" s="13"/>
      <c r="E222" s="13"/>
    </row>
    <row r="223">
      <c r="C223" s="13"/>
      <c r="D223" s="13"/>
      <c r="E223" s="13"/>
    </row>
    <row r="224">
      <c r="C224" s="13"/>
      <c r="D224" s="13"/>
      <c r="E224" s="13"/>
    </row>
    <row r="225">
      <c r="C225" s="13"/>
      <c r="D225" s="13"/>
      <c r="E225" s="13"/>
    </row>
    <row r="226">
      <c r="C226" s="13"/>
      <c r="D226" s="13"/>
      <c r="E226" s="13"/>
    </row>
    <row r="227">
      <c r="C227" s="13"/>
      <c r="D227" s="13"/>
      <c r="E227" s="13"/>
    </row>
    <row r="228">
      <c r="C228" s="13"/>
      <c r="D228" s="13"/>
      <c r="E228" s="13"/>
    </row>
    <row r="229">
      <c r="C229" s="13"/>
      <c r="D229" s="13"/>
      <c r="E229" s="13"/>
    </row>
    <row r="230">
      <c r="C230" s="13"/>
      <c r="D230" s="13"/>
      <c r="E230" s="13"/>
    </row>
    <row r="231">
      <c r="C231" s="13"/>
      <c r="D231" s="13"/>
      <c r="E231" s="13"/>
    </row>
    <row r="232">
      <c r="C232" s="13"/>
      <c r="D232" s="13"/>
      <c r="E232" s="13"/>
    </row>
    <row r="233">
      <c r="C233" s="13"/>
      <c r="D233" s="13"/>
      <c r="E233" s="13"/>
    </row>
    <row r="234">
      <c r="C234" s="13"/>
      <c r="D234" s="13"/>
      <c r="E234" s="13"/>
    </row>
    <row r="235">
      <c r="C235" s="13"/>
      <c r="D235" s="13"/>
      <c r="E235" s="13"/>
    </row>
    <row r="236">
      <c r="C236" s="13"/>
      <c r="D236" s="13"/>
      <c r="E236" s="13"/>
    </row>
    <row r="237">
      <c r="C237" s="13"/>
      <c r="D237" s="13"/>
      <c r="E237" s="13"/>
    </row>
    <row r="238">
      <c r="C238" s="13"/>
      <c r="D238" s="13"/>
      <c r="E238" s="13"/>
    </row>
    <row r="239">
      <c r="C239" s="13"/>
      <c r="D239" s="13"/>
      <c r="E239" s="13"/>
    </row>
    <row r="240">
      <c r="C240" s="13"/>
      <c r="D240" s="13"/>
      <c r="E240" s="13"/>
    </row>
    <row r="241">
      <c r="C241" s="13"/>
      <c r="D241" s="13"/>
      <c r="E241" s="13"/>
    </row>
    <row r="242">
      <c r="C242" s="13"/>
      <c r="D242" s="13"/>
      <c r="E242" s="13"/>
    </row>
    <row r="243">
      <c r="C243" s="13"/>
      <c r="D243" s="13"/>
      <c r="E243" s="13"/>
    </row>
    <row r="244">
      <c r="C244" s="13"/>
      <c r="D244" s="13"/>
      <c r="E244" s="13"/>
    </row>
    <row r="245">
      <c r="C245" s="13"/>
      <c r="D245" s="13"/>
      <c r="E245" s="13"/>
    </row>
    <row r="246">
      <c r="C246" s="13"/>
      <c r="D246" s="13"/>
      <c r="E246" s="13"/>
    </row>
    <row r="247">
      <c r="C247" s="13"/>
      <c r="D247" s="13"/>
      <c r="E247" s="13"/>
    </row>
    <row r="248">
      <c r="C248" s="13"/>
      <c r="D248" s="13"/>
      <c r="E248" s="13"/>
    </row>
    <row r="249">
      <c r="C249" s="13"/>
      <c r="D249" s="13"/>
      <c r="E249" s="13"/>
    </row>
    <row r="250">
      <c r="C250" s="13"/>
      <c r="D250" s="13"/>
      <c r="E250" s="13"/>
    </row>
    <row r="251">
      <c r="C251" s="13"/>
      <c r="D251" s="13"/>
      <c r="E251" s="13"/>
    </row>
    <row r="252">
      <c r="C252" s="13"/>
      <c r="D252" s="13"/>
      <c r="E252" s="13"/>
    </row>
    <row r="253">
      <c r="C253" s="13"/>
      <c r="D253" s="13"/>
      <c r="E253" s="13"/>
    </row>
    <row r="254">
      <c r="C254" s="13"/>
      <c r="D254" s="13"/>
      <c r="E254" s="13"/>
    </row>
    <row r="255">
      <c r="C255" s="13"/>
      <c r="D255" s="13"/>
      <c r="E255" s="13"/>
    </row>
    <row r="256">
      <c r="C256" s="13"/>
      <c r="D256" s="13"/>
      <c r="E256" s="13"/>
    </row>
    <row r="257">
      <c r="C257" s="13"/>
      <c r="D257" s="13"/>
      <c r="E257" s="13"/>
    </row>
    <row r="258">
      <c r="C258" s="13"/>
      <c r="D258" s="13"/>
      <c r="E258" s="13"/>
    </row>
    <row r="259">
      <c r="C259" s="13"/>
      <c r="D259" s="13"/>
      <c r="E259" s="13"/>
    </row>
    <row r="260">
      <c r="C260" s="13"/>
      <c r="D260" s="13"/>
      <c r="E260" s="13"/>
    </row>
    <row r="261">
      <c r="C261" s="13"/>
      <c r="D261" s="13"/>
      <c r="E261" s="13"/>
    </row>
    <row r="262">
      <c r="C262" s="13"/>
      <c r="D262" s="13"/>
      <c r="E262" s="13"/>
    </row>
    <row r="263">
      <c r="C263" s="13"/>
      <c r="D263" s="13"/>
      <c r="E263" s="13"/>
    </row>
    <row r="264">
      <c r="C264" s="13"/>
      <c r="D264" s="13"/>
      <c r="E264" s="13"/>
    </row>
    <row r="265">
      <c r="C265" s="13"/>
      <c r="D265" s="13"/>
      <c r="E265" s="13"/>
    </row>
    <row r="266">
      <c r="C266" s="13"/>
      <c r="D266" s="13"/>
      <c r="E266" s="13"/>
    </row>
    <row r="267">
      <c r="C267" s="13"/>
      <c r="D267" s="13"/>
      <c r="E267" s="13"/>
    </row>
    <row r="268">
      <c r="C268" s="13"/>
      <c r="D268" s="13"/>
      <c r="E268" s="13"/>
    </row>
    <row r="269">
      <c r="C269" s="13"/>
      <c r="D269" s="13"/>
      <c r="E269" s="13"/>
    </row>
    <row r="270">
      <c r="C270" s="13"/>
      <c r="D270" s="13"/>
      <c r="E270" s="13"/>
    </row>
    <row r="271">
      <c r="C271" s="13"/>
      <c r="D271" s="13"/>
      <c r="E271" s="13"/>
    </row>
    <row r="272">
      <c r="C272" s="13"/>
      <c r="D272" s="13"/>
      <c r="E272" s="13"/>
    </row>
    <row r="273">
      <c r="C273" s="13"/>
      <c r="D273" s="13"/>
      <c r="E273" s="13"/>
    </row>
    <row r="274">
      <c r="C274" s="13"/>
      <c r="D274" s="13"/>
      <c r="E274" s="13"/>
    </row>
    <row r="275">
      <c r="C275" s="13"/>
      <c r="D275" s="13"/>
      <c r="E275" s="13"/>
    </row>
    <row r="276">
      <c r="C276" s="13"/>
      <c r="D276" s="13"/>
      <c r="E276" s="13"/>
    </row>
    <row r="277">
      <c r="C277" s="13"/>
      <c r="D277" s="13"/>
      <c r="E277" s="13"/>
    </row>
    <row r="278">
      <c r="C278" s="13"/>
      <c r="D278" s="13"/>
      <c r="E278" s="13"/>
    </row>
    <row r="279">
      <c r="C279" s="13"/>
      <c r="D279" s="13"/>
      <c r="E279" s="13"/>
    </row>
    <row r="280">
      <c r="C280" s="13"/>
      <c r="D280" s="13"/>
      <c r="E280" s="13"/>
    </row>
    <row r="281">
      <c r="C281" s="13"/>
      <c r="D281" s="13"/>
      <c r="E281" s="13"/>
    </row>
    <row r="282">
      <c r="C282" s="13"/>
      <c r="D282" s="13"/>
      <c r="E282" s="13"/>
    </row>
    <row r="283">
      <c r="C283" s="13"/>
      <c r="D283" s="13"/>
      <c r="E283" s="13"/>
    </row>
    <row r="284">
      <c r="C284" s="13"/>
      <c r="D284" s="13"/>
      <c r="E284" s="13"/>
    </row>
    <row r="285">
      <c r="C285" s="13"/>
      <c r="D285" s="13"/>
      <c r="E285" s="13"/>
    </row>
    <row r="286">
      <c r="C286" s="13"/>
      <c r="D286" s="13"/>
      <c r="E286" s="13"/>
    </row>
    <row r="287">
      <c r="C287" s="13"/>
      <c r="D287" s="13"/>
      <c r="E287" s="13"/>
    </row>
    <row r="288">
      <c r="C288" s="13"/>
      <c r="D288" s="13"/>
      <c r="E288" s="13"/>
    </row>
    <row r="289">
      <c r="C289" s="13"/>
      <c r="D289" s="13"/>
      <c r="E289" s="13"/>
    </row>
    <row r="290">
      <c r="C290" s="13"/>
      <c r="D290" s="13"/>
      <c r="E290" s="13"/>
    </row>
    <row r="291">
      <c r="C291" s="13"/>
      <c r="D291" s="13"/>
      <c r="E291" s="13"/>
    </row>
    <row r="292">
      <c r="C292" s="13"/>
      <c r="D292" s="13"/>
      <c r="E292" s="13"/>
    </row>
    <row r="293">
      <c r="C293" s="13"/>
      <c r="D293" s="13"/>
      <c r="E293" s="13"/>
    </row>
    <row r="294">
      <c r="C294" s="13"/>
      <c r="D294" s="13"/>
      <c r="E294" s="13"/>
    </row>
    <row r="295">
      <c r="C295" s="13"/>
      <c r="D295" s="13"/>
      <c r="E295" s="13"/>
    </row>
    <row r="296">
      <c r="C296" s="13"/>
      <c r="D296" s="13"/>
      <c r="E296" s="13"/>
    </row>
    <row r="297">
      <c r="C297" s="13"/>
      <c r="D297" s="13"/>
      <c r="E297" s="13"/>
    </row>
    <row r="298">
      <c r="C298" s="13"/>
      <c r="D298" s="13"/>
      <c r="E298" s="13"/>
    </row>
    <row r="299">
      <c r="C299" s="13"/>
      <c r="D299" s="13"/>
      <c r="E299" s="13"/>
    </row>
    <row r="300">
      <c r="C300" s="13"/>
      <c r="D300" s="13"/>
      <c r="E300" s="13"/>
    </row>
    <row r="301">
      <c r="C301" s="13"/>
      <c r="D301" s="13"/>
      <c r="E301" s="13"/>
    </row>
    <row r="302">
      <c r="C302" s="13"/>
      <c r="D302" s="13"/>
      <c r="E302" s="13"/>
    </row>
    <row r="303">
      <c r="C303" s="13"/>
      <c r="D303" s="13"/>
      <c r="E303" s="13"/>
    </row>
    <row r="304">
      <c r="C304" s="13"/>
      <c r="D304" s="13"/>
      <c r="E304" s="13"/>
    </row>
    <row r="305">
      <c r="C305" s="13"/>
      <c r="D305" s="13"/>
      <c r="E305" s="13"/>
    </row>
    <row r="306">
      <c r="C306" s="13"/>
      <c r="D306" s="13"/>
      <c r="E306" s="13"/>
    </row>
    <row r="307">
      <c r="C307" s="13"/>
      <c r="D307" s="13"/>
      <c r="E307" s="13"/>
    </row>
    <row r="308">
      <c r="C308" s="13"/>
      <c r="D308" s="13"/>
      <c r="E308" s="13"/>
    </row>
    <row r="309">
      <c r="C309" s="13"/>
      <c r="D309" s="13"/>
      <c r="E309" s="13"/>
    </row>
    <row r="310">
      <c r="C310" s="13"/>
      <c r="D310" s="13"/>
      <c r="E310" s="13"/>
    </row>
    <row r="311">
      <c r="C311" s="13"/>
      <c r="D311" s="13"/>
      <c r="E311" s="13"/>
    </row>
    <row r="312">
      <c r="C312" s="13"/>
      <c r="D312" s="13"/>
      <c r="E312" s="13"/>
    </row>
    <row r="313">
      <c r="C313" s="13"/>
      <c r="D313" s="13"/>
      <c r="E313" s="13"/>
    </row>
    <row r="314">
      <c r="C314" s="13"/>
      <c r="D314" s="13"/>
      <c r="E314" s="13"/>
    </row>
    <row r="315">
      <c r="C315" s="13"/>
      <c r="D315" s="13"/>
      <c r="E315" s="13"/>
    </row>
    <row r="316">
      <c r="C316" s="13"/>
      <c r="D316" s="13"/>
      <c r="E316" s="13"/>
    </row>
    <row r="317">
      <c r="C317" s="13"/>
      <c r="D317" s="13"/>
      <c r="E317" s="13"/>
    </row>
    <row r="318">
      <c r="C318" s="13"/>
      <c r="D318" s="13"/>
      <c r="E318" s="13"/>
    </row>
    <row r="319">
      <c r="C319" s="13"/>
      <c r="D319" s="13"/>
      <c r="E319" s="13"/>
    </row>
    <row r="320">
      <c r="C320" s="13"/>
      <c r="D320" s="13"/>
      <c r="E320" s="13"/>
    </row>
    <row r="321">
      <c r="C321" s="13"/>
      <c r="D321" s="13"/>
      <c r="E321" s="13"/>
    </row>
    <row r="322">
      <c r="C322" s="13"/>
      <c r="D322" s="13"/>
      <c r="E322" s="13"/>
    </row>
    <row r="323">
      <c r="C323" s="13"/>
      <c r="D323" s="13"/>
      <c r="E323" s="13"/>
    </row>
    <row r="324">
      <c r="C324" s="13"/>
      <c r="D324" s="13"/>
      <c r="E324" s="13"/>
    </row>
    <row r="325">
      <c r="C325" s="13"/>
      <c r="D325" s="13"/>
      <c r="E325" s="13"/>
    </row>
    <row r="326">
      <c r="C326" s="13"/>
      <c r="D326" s="13"/>
      <c r="E326" s="13"/>
    </row>
    <row r="327">
      <c r="C327" s="13"/>
      <c r="D327" s="13"/>
      <c r="E327" s="13"/>
    </row>
    <row r="328">
      <c r="C328" s="13"/>
      <c r="D328" s="13"/>
      <c r="E328" s="13"/>
    </row>
    <row r="329">
      <c r="C329" s="13"/>
      <c r="D329" s="13"/>
      <c r="E329" s="13"/>
    </row>
    <row r="330">
      <c r="C330" s="13"/>
      <c r="D330" s="13"/>
      <c r="E330" s="13"/>
    </row>
    <row r="331">
      <c r="C331" s="13"/>
      <c r="D331" s="13"/>
      <c r="E331" s="13"/>
    </row>
    <row r="332">
      <c r="C332" s="13"/>
      <c r="D332" s="13"/>
      <c r="E332" s="13"/>
    </row>
    <row r="333">
      <c r="C333" s="13"/>
      <c r="D333" s="13"/>
      <c r="E333" s="13"/>
    </row>
    <row r="334">
      <c r="C334" s="13"/>
      <c r="D334" s="13"/>
      <c r="E334" s="13"/>
    </row>
    <row r="335">
      <c r="C335" s="13"/>
      <c r="D335" s="13"/>
      <c r="E335" s="13"/>
    </row>
    <row r="336">
      <c r="C336" s="13"/>
      <c r="D336" s="13"/>
      <c r="E336" s="13"/>
    </row>
    <row r="337">
      <c r="C337" s="13"/>
      <c r="D337" s="13"/>
      <c r="E337" s="13"/>
    </row>
    <row r="338">
      <c r="C338" s="13"/>
      <c r="D338" s="13"/>
      <c r="E338" s="13"/>
    </row>
    <row r="339">
      <c r="C339" s="13"/>
      <c r="D339" s="13"/>
      <c r="E339" s="13"/>
    </row>
    <row r="340">
      <c r="C340" s="13"/>
      <c r="D340" s="13"/>
      <c r="E340" s="13"/>
    </row>
    <row r="341">
      <c r="C341" s="13"/>
      <c r="D341" s="13"/>
      <c r="E341" s="13"/>
    </row>
    <row r="342">
      <c r="C342" s="13"/>
      <c r="D342" s="13"/>
      <c r="E342" s="13"/>
    </row>
    <row r="343">
      <c r="C343" s="13"/>
      <c r="D343" s="13"/>
      <c r="E343" s="13"/>
    </row>
    <row r="344">
      <c r="C344" s="13"/>
      <c r="D344" s="13"/>
      <c r="E344" s="13"/>
    </row>
    <row r="345">
      <c r="C345" s="13"/>
      <c r="D345" s="13"/>
      <c r="E345" s="13"/>
    </row>
    <row r="346">
      <c r="C346" s="13"/>
      <c r="D346" s="13"/>
      <c r="E346" s="13"/>
    </row>
    <row r="347">
      <c r="C347" s="13"/>
      <c r="D347" s="13"/>
      <c r="E347" s="13"/>
    </row>
    <row r="348">
      <c r="C348" s="13"/>
      <c r="D348" s="13"/>
      <c r="E348" s="13"/>
    </row>
    <row r="349">
      <c r="C349" s="13"/>
      <c r="D349" s="13"/>
      <c r="E349" s="13"/>
    </row>
    <row r="350">
      <c r="C350" s="13"/>
      <c r="D350" s="13"/>
      <c r="E350" s="13"/>
    </row>
    <row r="351">
      <c r="C351" s="13"/>
      <c r="D351" s="13"/>
      <c r="E351" s="13"/>
    </row>
    <row r="352">
      <c r="C352" s="13"/>
      <c r="D352" s="13"/>
      <c r="E352" s="13"/>
    </row>
    <row r="353">
      <c r="C353" s="13"/>
      <c r="D353" s="13"/>
      <c r="E353" s="13"/>
    </row>
    <row r="354">
      <c r="C354" s="13"/>
      <c r="D354" s="13"/>
      <c r="E354" s="13"/>
    </row>
    <row r="355">
      <c r="C355" s="13"/>
      <c r="D355" s="13"/>
      <c r="E355" s="13"/>
    </row>
    <row r="356">
      <c r="C356" s="13"/>
      <c r="D356" s="13"/>
      <c r="E356" s="13"/>
    </row>
    <row r="357">
      <c r="C357" s="13"/>
      <c r="D357" s="13"/>
      <c r="E357" s="13"/>
    </row>
    <row r="358">
      <c r="C358" s="13"/>
      <c r="D358" s="13"/>
      <c r="E358" s="13"/>
    </row>
    <row r="359">
      <c r="C359" s="13"/>
      <c r="D359" s="13"/>
      <c r="E359" s="13"/>
    </row>
    <row r="360">
      <c r="C360" s="13"/>
      <c r="D360" s="13"/>
      <c r="E360" s="13"/>
    </row>
    <row r="361">
      <c r="C361" s="13"/>
      <c r="D361" s="13"/>
      <c r="E361" s="13"/>
    </row>
    <row r="362">
      <c r="C362" s="13"/>
      <c r="D362" s="13"/>
      <c r="E362" s="13"/>
    </row>
    <row r="363">
      <c r="C363" s="13"/>
      <c r="D363" s="13"/>
      <c r="E363" s="13"/>
    </row>
    <row r="364">
      <c r="C364" s="13"/>
      <c r="D364" s="13"/>
      <c r="E364" s="13"/>
    </row>
    <row r="365">
      <c r="C365" s="13"/>
      <c r="D365" s="13"/>
      <c r="E365" s="13"/>
    </row>
    <row r="366">
      <c r="C366" s="13"/>
      <c r="D366" s="13"/>
      <c r="E366" s="13"/>
    </row>
    <row r="367">
      <c r="C367" s="13"/>
      <c r="D367" s="13"/>
      <c r="E367" s="13"/>
    </row>
    <row r="368">
      <c r="C368" s="13"/>
      <c r="D368" s="13"/>
      <c r="E368" s="13"/>
    </row>
    <row r="369">
      <c r="C369" s="13"/>
      <c r="D369" s="13"/>
      <c r="E369" s="13"/>
    </row>
    <row r="370">
      <c r="C370" s="13"/>
      <c r="D370" s="13"/>
      <c r="E370" s="13"/>
    </row>
    <row r="371">
      <c r="C371" s="13"/>
      <c r="D371" s="13"/>
      <c r="E371" s="13"/>
    </row>
    <row r="372">
      <c r="C372" s="13"/>
      <c r="D372" s="13"/>
      <c r="E372" s="13"/>
    </row>
    <row r="373">
      <c r="C373" s="13"/>
      <c r="D373" s="13"/>
      <c r="E373" s="13"/>
    </row>
    <row r="374">
      <c r="C374" s="13"/>
      <c r="D374" s="13"/>
      <c r="E374" s="13"/>
    </row>
    <row r="375">
      <c r="C375" s="13"/>
      <c r="D375" s="13"/>
      <c r="E375" s="13"/>
    </row>
    <row r="376">
      <c r="C376" s="13"/>
      <c r="D376" s="13"/>
      <c r="E376" s="13"/>
    </row>
    <row r="377">
      <c r="C377" s="13"/>
      <c r="D377" s="13"/>
      <c r="E377" s="13"/>
    </row>
    <row r="378">
      <c r="C378" s="13"/>
      <c r="D378" s="13"/>
      <c r="E378" s="13"/>
    </row>
    <row r="379">
      <c r="C379" s="13"/>
      <c r="D379" s="13"/>
      <c r="E379" s="13"/>
    </row>
    <row r="380">
      <c r="C380" s="13"/>
      <c r="D380" s="13"/>
      <c r="E380" s="13"/>
    </row>
    <row r="381">
      <c r="C381" s="13"/>
      <c r="D381" s="13"/>
      <c r="E381" s="13"/>
    </row>
    <row r="382">
      <c r="C382" s="13"/>
      <c r="D382" s="13"/>
      <c r="E382" s="13"/>
    </row>
    <row r="383">
      <c r="C383" s="13"/>
      <c r="D383" s="13"/>
      <c r="E383" s="13"/>
    </row>
    <row r="384">
      <c r="C384" s="13"/>
      <c r="D384" s="13"/>
      <c r="E384" s="13"/>
    </row>
    <row r="385">
      <c r="C385" s="13"/>
      <c r="D385" s="13"/>
      <c r="E385" s="13"/>
    </row>
    <row r="386">
      <c r="C386" s="13"/>
      <c r="D386" s="13"/>
      <c r="E386" s="13"/>
    </row>
    <row r="387">
      <c r="C387" s="13"/>
      <c r="D387" s="13"/>
      <c r="E387" s="13"/>
    </row>
    <row r="388">
      <c r="C388" s="13"/>
      <c r="D388" s="13"/>
      <c r="E388" s="13"/>
    </row>
    <row r="389">
      <c r="C389" s="13"/>
      <c r="D389" s="13"/>
      <c r="E389" s="13"/>
    </row>
    <row r="390">
      <c r="C390" s="13"/>
      <c r="D390" s="13"/>
      <c r="E390" s="13"/>
    </row>
    <row r="391">
      <c r="C391" s="13"/>
      <c r="D391" s="13"/>
      <c r="E391" s="13"/>
    </row>
    <row r="392">
      <c r="C392" s="13"/>
      <c r="D392" s="13"/>
      <c r="E392" s="13"/>
    </row>
    <row r="393">
      <c r="C393" s="13"/>
      <c r="D393" s="13"/>
      <c r="E393" s="13"/>
    </row>
    <row r="394">
      <c r="C394" s="13"/>
      <c r="D394" s="13"/>
      <c r="E394" s="13"/>
    </row>
    <row r="395">
      <c r="C395" s="13"/>
      <c r="D395" s="13"/>
      <c r="E395" s="13"/>
    </row>
    <row r="396">
      <c r="C396" s="13"/>
      <c r="D396" s="13"/>
      <c r="E396" s="13"/>
    </row>
    <row r="397">
      <c r="C397" s="13"/>
      <c r="D397" s="13"/>
      <c r="E397" s="13"/>
    </row>
    <row r="398">
      <c r="C398" s="13"/>
      <c r="D398" s="13"/>
      <c r="E398" s="13"/>
    </row>
    <row r="399">
      <c r="C399" s="13"/>
      <c r="D399" s="13"/>
      <c r="E399" s="13"/>
    </row>
    <row r="400">
      <c r="C400" s="13"/>
      <c r="D400" s="13"/>
      <c r="E400" s="13"/>
    </row>
    <row r="401">
      <c r="C401" s="13"/>
      <c r="D401" s="13"/>
      <c r="E401" s="13"/>
    </row>
    <row r="402">
      <c r="C402" s="13"/>
      <c r="D402" s="13"/>
      <c r="E402" s="13"/>
    </row>
    <row r="403">
      <c r="C403" s="13"/>
      <c r="D403" s="13"/>
      <c r="E403" s="13"/>
    </row>
    <row r="404">
      <c r="C404" s="13"/>
      <c r="D404" s="13"/>
      <c r="E404" s="13"/>
    </row>
    <row r="405">
      <c r="C405" s="13"/>
      <c r="D405" s="13"/>
      <c r="E405" s="13"/>
    </row>
    <row r="406">
      <c r="C406" s="13"/>
      <c r="D406" s="13"/>
      <c r="E406" s="13"/>
    </row>
    <row r="407">
      <c r="C407" s="13"/>
      <c r="D407" s="13"/>
      <c r="E407" s="13"/>
    </row>
    <row r="408">
      <c r="C408" s="13"/>
      <c r="D408" s="13"/>
      <c r="E408" s="13"/>
    </row>
    <row r="409">
      <c r="C409" s="13"/>
      <c r="D409" s="13"/>
      <c r="E409" s="13"/>
    </row>
    <row r="410">
      <c r="C410" s="13"/>
      <c r="D410" s="13"/>
      <c r="E410" s="13"/>
    </row>
    <row r="411">
      <c r="C411" s="13"/>
      <c r="D411" s="13"/>
      <c r="E411" s="13"/>
    </row>
    <row r="412">
      <c r="C412" s="13"/>
      <c r="D412" s="13"/>
      <c r="E412" s="13"/>
    </row>
    <row r="413">
      <c r="C413" s="13"/>
      <c r="D413" s="13"/>
      <c r="E413" s="13"/>
    </row>
    <row r="414">
      <c r="C414" s="13"/>
      <c r="D414" s="13"/>
      <c r="E414" s="13"/>
    </row>
    <row r="415">
      <c r="C415" s="13"/>
      <c r="D415" s="13"/>
      <c r="E415" s="13"/>
    </row>
    <row r="416">
      <c r="C416" s="13"/>
      <c r="D416" s="13"/>
      <c r="E416" s="13"/>
    </row>
    <row r="417">
      <c r="C417" s="13"/>
      <c r="D417" s="13"/>
      <c r="E417" s="13"/>
    </row>
    <row r="418">
      <c r="C418" s="13"/>
      <c r="D418" s="13"/>
      <c r="E418" s="13"/>
    </row>
    <row r="419">
      <c r="C419" s="13"/>
      <c r="D419" s="13"/>
      <c r="E419" s="13"/>
    </row>
    <row r="420">
      <c r="C420" s="13"/>
      <c r="D420" s="13"/>
      <c r="E420" s="13"/>
    </row>
    <row r="421">
      <c r="C421" s="13"/>
      <c r="D421" s="13"/>
      <c r="E421" s="13"/>
    </row>
    <row r="422">
      <c r="C422" s="13"/>
      <c r="D422" s="13"/>
      <c r="E422" s="13"/>
    </row>
    <row r="423">
      <c r="C423" s="13"/>
      <c r="D423" s="13"/>
      <c r="E423" s="13"/>
    </row>
    <row r="424">
      <c r="C424" s="13"/>
      <c r="D424" s="13"/>
      <c r="E424" s="13"/>
    </row>
    <row r="425">
      <c r="C425" s="13"/>
      <c r="D425" s="13"/>
      <c r="E425" s="13"/>
    </row>
    <row r="426">
      <c r="C426" s="13"/>
      <c r="D426" s="13"/>
      <c r="E426" s="13"/>
    </row>
    <row r="427">
      <c r="C427" s="13"/>
      <c r="D427" s="13"/>
      <c r="E427" s="13"/>
    </row>
    <row r="428">
      <c r="C428" s="13"/>
      <c r="D428" s="13"/>
      <c r="E428" s="13"/>
    </row>
    <row r="429">
      <c r="C429" s="13"/>
      <c r="D429" s="13"/>
      <c r="E429" s="13"/>
    </row>
    <row r="430">
      <c r="C430" s="13"/>
      <c r="D430" s="13"/>
      <c r="E430" s="13"/>
    </row>
    <row r="431">
      <c r="C431" s="13"/>
      <c r="D431" s="13"/>
      <c r="E431" s="13"/>
    </row>
    <row r="432">
      <c r="C432" s="13"/>
      <c r="D432" s="13"/>
      <c r="E432" s="13"/>
    </row>
    <row r="433">
      <c r="C433" s="13"/>
      <c r="D433" s="13"/>
      <c r="E433" s="13"/>
    </row>
    <row r="434">
      <c r="C434" s="13"/>
      <c r="D434" s="13"/>
      <c r="E434" s="13"/>
    </row>
    <row r="435">
      <c r="C435" s="13"/>
      <c r="D435" s="13"/>
      <c r="E435" s="13"/>
    </row>
    <row r="436">
      <c r="C436" s="13"/>
      <c r="D436" s="13"/>
      <c r="E436" s="13"/>
    </row>
    <row r="437">
      <c r="C437" s="13"/>
      <c r="D437" s="13"/>
      <c r="E437" s="13"/>
    </row>
    <row r="438">
      <c r="C438" s="13"/>
      <c r="D438" s="13"/>
      <c r="E438" s="13"/>
    </row>
    <row r="439">
      <c r="C439" s="13"/>
      <c r="D439" s="13"/>
      <c r="E439" s="13"/>
    </row>
    <row r="440">
      <c r="C440" s="13"/>
      <c r="D440" s="13"/>
      <c r="E440" s="13"/>
    </row>
    <row r="441">
      <c r="C441" s="13"/>
      <c r="D441" s="13"/>
      <c r="E441" s="13"/>
    </row>
    <row r="442">
      <c r="C442" s="13"/>
      <c r="D442" s="13"/>
      <c r="E442" s="13"/>
    </row>
    <row r="443">
      <c r="C443" s="13"/>
      <c r="D443" s="13"/>
      <c r="E443" s="13"/>
    </row>
    <row r="444">
      <c r="C444" s="13"/>
      <c r="D444" s="13"/>
      <c r="E444" s="13"/>
    </row>
    <row r="445">
      <c r="C445" s="13"/>
      <c r="D445" s="13"/>
      <c r="E445" s="13"/>
    </row>
    <row r="446">
      <c r="C446" s="13"/>
      <c r="D446" s="13"/>
      <c r="E446" s="13"/>
    </row>
    <row r="447">
      <c r="C447" s="13"/>
      <c r="D447" s="13"/>
      <c r="E447" s="13"/>
    </row>
    <row r="448">
      <c r="C448" s="13"/>
      <c r="D448" s="13"/>
      <c r="E448" s="13"/>
    </row>
    <row r="449">
      <c r="C449" s="13"/>
      <c r="D449" s="13"/>
      <c r="E449" s="13"/>
    </row>
    <row r="450">
      <c r="C450" s="13"/>
      <c r="D450" s="13"/>
      <c r="E450" s="13"/>
    </row>
    <row r="451">
      <c r="C451" s="13"/>
      <c r="D451" s="13"/>
      <c r="E451" s="13"/>
    </row>
    <row r="452">
      <c r="C452" s="13"/>
      <c r="D452" s="13"/>
      <c r="E452" s="13"/>
    </row>
    <row r="453">
      <c r="C453" s="13"/>
      <c r="D453" s="13"/>
      <c r="E453" s="13"/>
    </row>
    <row r="454">
      <c r="C454" s="13"/>
      <c r="D454" s="13"/>
      <c r="E454" s="13"/>
    </row>
    <row r="455">
      <c r="C455" s="13"/>
      <c r="D455" s="13"/>
      <c r="E455" s="13"/>
    </row>
    <row r="456">
      <c r="C456" s="13"/>
      <c r="D456" s="13"/>
      <c r="E456" s="13"/>
    </row>
    <row r="457">
      <c r="C457" s="13"/>
      <c r="D457" s="13"/>
      <c r="E457" s="13"/>
    </row>
    <row r="458">
      <c r="C458" s="13"/>
      <c r="D458" s="13"/>
      <c r="E458" s="13"/>
    </row>
    <row r="459">
      <c r="C459" s="13"/>
      <c r="D459" s="13"/>
      <c r="E459" s="13"/>
    </row>
    <row r="460">
      <c r="C460" s="13"/>
      <c r="D460" s="13"/>
      <c r="E460" s="13"/>
    </row>
    <row r="461">
      <c r="C461" s="13"/>
      <c r="D461" s="13"/>
      <c r="E461" s="13"/>
    </row>
    <row r="462">
      <c r="C462" s="13"/>
      <c r="D462" s="13"/>
      <c r="E462" s="13"/>
    </row>
    <row r="463">
      <c r="C463" s="13"/>
      <c r="D463" s="13"/>
      <c r="E463" s="13"/>
    </row>
    <row r="464">
      <c r="C464" s="13"/>
      <c r="D464" s="13"/>
      <c r="E464" s="13"/>
    </row>
    <row r="465">
      <c r="C465" s="13"/>
      <c r="D465" s="13"/>
      <c r="E465" s="13"/>
    </row>
    <row r="466">
      <c r="C466" s="13"/>
      <c r="D466" s="13"/>
      <c r="E466" s="13"/>
    </row>
    <row r="467">
      <c r="C467" s="13"/>
      <c r="D467" s="13"/>
      <c r="E467" s="13"/>
    </row>
    <row r="468">
      <c r="C468" s="13"/>
      <c r="D468" s="13"/>
      <c r="E468" s="13"/>
    </row>
    <row r="469">
      <c r="C469" s="13"/>
      <c r="D469" s="13"/>
      <c r="E469" s="13"/>
    </row>
    <row r="470">
      <c r="C470" s="13"/>
      <c r="D470" s="13"/>
      <c r="E470" s="13"/>
    </row>
    <row r="471">
      <c r="C471" s="13"/>
      <c r="D471" s="13"/>
      <c r="E471" s="13"/>
    </row>
    <row r="472">
      <c r="C472" s="13"/>
      <c r="D472" s="13"/>
      <c r="E472" s="13"/>
    </row>
    <row r="473">
      <c r="C473" s="13"/>
      <c r="D473" s="13"/>
      <c r="E473" s="13"/>
    </row>
    <row r="474">
      <c r="C474" s="13"/>
      <c r="D474" s="13"/>
      <c r="E474" s="13"/>
    </row>
    <row r="475">
      <c r="C475" s="13"/>
      <c r="D475" s="13"/>
      <c r="E475" s="13"/>
    </row>
    <row r="476">
      <c r="C476" s="13"/>
      <c r="D476" s="13"/>
      <c r="E476" s="13"/>
    </row>
    <row r="477">
      <c r="C477" s="13"/>
      <c r="D477" s="13"/>
      <c r="E477" s="13"/>
    </row>
    <row r="478">
      <c r="C478" s="13"/>
      <c r="D478" s="13"/>
      <c r="E478" s="13"/>
    </row>
    <row r="479">
      <c r="C479" s="13"/>
      <c r="D479" s="13"/>
      <c r="E479" s="13"/>
    </row>
    <row r="480">
      <c r="C480" s="13"/>
      <c r="D480" s="13"/>
      <c r="E480" s="13"/>
    </row>
    <row r="481">
      <c r="C481" s="13"/>
      <c r="D481" s="13"/>
      <c r="E481" s="13"/>
    </row>
    <row r="482">
      <c r="C482" s="13"/>
      <c r="D482" s="13"/>
      <c r="E482" s="13"/>
    </row>
    <row r="483">
      <c r="C483" s="13"/>
      <c r="D483" s="13"/>
      <c r="E483" s="13"/>
    </row>
    <row r="484">
      <c r="C484" s="13"/>
      <c r="D484" s="13"/>
      <c r="E484" s="13"/>
    </row>
    <row r="485">
      <c r="C485" s="13"/>
      <c r="D485" s="13"/>
      <c r="E485" s="13"/>
    </row>
    <row r="486">
      <c r="C486" s="13"/>
      <c r="D486" s="13"/>
      <c r="E486" s="13"/>
    </row>
    <row r="487">
      <c r="C487" s="13"/>
      <c r="D487" s="13"/>
      <c r="E487" s="13"/>
    </row>
    <row r="488">
      <c r="C488" s="13"/>
      <c r="D488" s="13"/>
      <c r="E488" s="13"/>
    </row>
    <row r="489">
      <c r="C489" s="13"/>
      <c r="D489" s="13"/>
      <c r="E489" s="13"/>
    </row>
    <row r="490">
      <c r="C490" s="13"/>
      <c r="D490" s="13"/>
      <c r="E490" s="13"/>
    </row>
    <row r="491">
      <c r="C491" s="13"/>
      <c r="D491" s="13"/>
      <c r="E491" s="13"/>
    </row>
    <row r="492">
      <c r="C492" s="13"/>
      <c r="D492" s="13"/>
      <c r="E492" s="13"/>
    </row>
    <row r="493">
      <c r="C493" s="13"/>
      <c r="D493" s="13"/>
      <c r="E493" s="13"/>
    </row>
    <row r="494">
      <c r="C494" s="13"/>
      <c r="D494" s="13"/>
      <c r="E494" s="13"/>
    </row>
    <row r="495">
      <c r="C495" s="13"/>
      <c r="D495" s="13"/>
      <c r="E495" s="13"/>
    </row>
    <row r="496">
      <c r="C496" s="13"/>
      <c r="D496" s="13"/>
      <c r="E496" s="13"/>
    </row>
    <row r="497">
      <c r="C497" s="13"/>
      <c r="D497" s="13"/>
      <c r="E497" s="13"/>
    </row>
    <row r="498">
      <c r="C498" s="13"/>
      <c r="D498" s="13"/>
      <c r="E498" s="13"/>
    </row>
    <row r="499">
      <c r="C499" s="13"/>
      <c r="D499" s="13"/>
      <c r="E499" s="13"/>
    </row>
    <row r="500">
      <c r="C500" s="13"/>
      <c r="D500" s="13"/>
      <c r="E500" s="13"/>
    </row>
    <row r="501">
      <c r="C501" s="13"/>
      <c r="D501" s="13"/>
      <c r="E501" s="13"/>
    </row>
    <row r="502">
      <c r="C502" s="13"/>
      <c r="D502" s="13"/>
      <c r="E502" s="13"/>
    </row>
    <row r="503">
      <c r="C503" s="13"/>
      <c r="D503" s="13"/>
      <c r="E503" s="13"/>
    </row>
    <row r="504">
      <c r="C504" s="13"/>
      <c r="D504" s="13"/>
      <c r="E504" s="13"/>
    </row>
    <row r="505">
      <c r="C505" s="13"/>
      <c r="D505" s="13"/>
      <c r="E505" s="13"/>
    </row>
    <row r="506">
      <c r="C506" s="13"/>
      <c r="D506" s="13"/>
      <c r="E506" s="13"/>
    </row>
    <row r="507">
      <c r="C507" s="13"/>
      <c r="D507" s="13"/>
      <c r="E507" s="13"/>
    </row>
    <row r="508">
      <c r="C508" s="13"/>
      <c r="D508" s="13"/>
      <c r="E508" s="13"/>
    </row>
    <row r="509">
      <c r="C509" s="13"/>
      <c r="D509" s="13"/>
      <c r="E509" s="13"/>
    </row>
    <row r="510">
      <c r="C510" s="13"/>
      <c r="D510" s="13"/>
      <c r="E510" s="13"/>
    </row>
    <row r="511">
      <c r="C511" s="13"/>
      <c r="D511" s="13"/>
      <c r="E511" s="13"/>
    </row>
    <row r="512">
      <c r="C512" s="13"/>
      <c r="D512" s="13"/>
      <c r="E512" s="13"/>
    </row>
    <row r="513">
      <c r="C513" s="13"/>
      <c r="D513" s="13"/>
      <c r="E513" s="13"/>
    </row>
    <row r="514">
      <c r="C514" s="13"/>
      <c r="D514" s="13"/>
      <c r="E514" s="13"/>
    </row>
    <row r="515">
      <c r="C515" s="13"/>
      <c r="D515" s="13"/>
      <c r="E515" s="13"/>
    </row>
    <row r="516">
      <c r="C516" s="13"/>
      <c r="D516" s="13"/>
      <c r="E516" s="13"/>
    </row>
    <row r="517">
      <c r="C517" s="13"/>
      <c r="D517" s="13"/>
      <c r="E517" s="13"/>
    </row>
    <row r="518">
      <c r="C518" s="13"/>
      <c r="D518" s="13"/>
      <c r="E518" s="13"/>
    </row>
    <row r="519">
      <c r="C519" s="13"/>
      <c r="D519" s="13"/>
      <c r="E519" s="13"/>
    </row>
    <row r="520">
      <c r="C520" s="13"/>
      <c r="D520" s="13"/>
      <c r="E520" s="13"/>
    </row>
    <row r="521">
      <c r="C521" s="13"/>
      <c r="D521" s="13"/>
      <c r="E521" s="13"/>
    </row>
    <row r="522">
      <c r="C522" s="13"/>
      <c r="D522" s="13"/>
      <c r="E522" s="13"/>
    </row>
    <row r="523">
      <c r="C523" s="13"/>
      <c r="D523" s="13"/>
      <c r="E523" s="13"/>
    </row>
    <row r="524">
      <c r="C524" s="13"/>
      <c r="D524" s="13"/>
      <c r="E524" s="13"/>
    </row>
    <row r="525">
      <c r="C525" s="13"/>
      <c r="D525" s="13"/>
      <c r="E525" s="13"/>
    </row>
    <row r="526">
      <c r="C526" s="13"/>
      <c r="D526" s="13"/>
      <c r="E526" s="13"/>
    </row>
    <row r="527">
      <c r="C527" s="13"/>
      <c r="D527" s="13"/>
      <c r="E527" s="13"/>
    </row>
    <row r="528">
      <c r="C528" s="13"/>
      <c r="D528" s="13"/>
      <c r="E528" s="13"/>
    </row>
    <row r="529">
      <c r="C529" s="13"/>
      <c r="D529" s="13"/>
      <c r="E529" s="13"/>
    </row>
    <row r="530">
      <c r="C530" s="13"/>
      <c r="D530" s="13"/>
      <c r="E530" s="13"/>
    </row>
    <row r="531">
      <c r="C531" s="13"/>
      <c r="D531" s="13"/>
      <c r="E531" s="13"/>
    </row>
    <row r="532">
      <c r="C532" s="13"/>
      <c r="D532" s="13"/>
      <c r="E532" s="13"/>
    </row>
    <row r="533">
      <c r="C533" s="13"/>
      <c r="D533" s="13"/>
      <c r="E533" s="13"/>
    </row>
    <row r="534">
      <c r="C534" s="13"/>
      <c r="D534" s="13"/>
      <c r="E534" s="13"/>
    </row>
    <row r="535">
      <c r="C535" s="13"/>
      <c r="D535" s="13"/>
      <c r="E535" s="13"/>
    </row>
    <row r="536">
      <c r="C536" s="13"/>
      <c r="D536" s="13"/>
      <c r="E536" s="13"/>
    </row>
    <row r="537">
      <c r="C537" s="13"/>
      <c r="D537" s="13"/>
      <c r="E537" s="13"/>
    </row>
    <row r="538">
      <c r="C538" s="13"/>
      <c r="D538" s="13"/>
      <c r="E538" s="13"/>
    </row>
    <row r="539">
      <c r="C539" s="13"/>
      <c r="D539" s="13"/>
      <c r="E539" s="13"/>
    </row>
    <row r="540">
      <c r="C540" s="13"/>
      <c r="D540" s="13"/>
      <c r="E540" s="13"/>
    </row>
    <row r="541">
      <c r="C541" s="13"/>
      <c r="D541" s="13"/>
      <c r="E541" s="13"/>
    </row>
    <row r="542">
      <c r="C542" s="13"/>
      <c r="D542" s="13"/>
      <c r="E542" s="13"/>
    </row>
    <row r="543">
      <c r="C543" s="13"/>
      <c r="D543" s="13"/>
      <c r="E543" s="13"/>
    </row>
    <row r="544">
      <c r="C544" s="13"/>
      <c r="D544" s="13"/>
      <c r="E544" s="13"/>
    </row>
    <row r="545">
      <c r="C545" s="13"/>
      <c r="D545" s="13"/>
      <c r="E545" s="13"/>
    </row>
    <row r="546">
      <c r="C546" s="13"/>
      <c r="D546" s="13"/>
      <c r="E546" s="13"/>
    </row>
    <row r="547">
      <c r="C547" s="13"/>
      <c r="D547" s="13"/>
      <c r="E547" s="13"/>
    </row>
    <row r="548">
      <c r="C548" s="13"/>
      <c r="D548" s="13"/>
      <c r="E548" s="13"/>
    </row>
    <row r="549">
      <c r="C549" s="13"/>
      <c r="D549" s="13"/>
      <c r="E549" s="13"/>
    </row>
    <row r="550">
      <c r="C550" s="13"/>
      <c r="D550" s="13"/>
      <c r="E550" s="13"/>
    </row>
    <row r="551">
      <c r="C551" s="13"/>
      <c r="D551" s="13"/>
      <c r="E551" s="13"/>
    </row>
    <row r="552">
      <c r="C552" s="13"/>
      <c r="D552" s="13"/>
      <c r="E552" s="13"/>
    </row>
    <row r="553">
      <c r="C553" s="13"/>
      <c r="D553" s="13"/>
      <c r="E553" s="13"/>
    </row>
    <row r="554">
      <c r="C554" s="13"/>
      <c r="D554" s="13"/>
      <c r="E554" s="13"/>
    </row>
    <row r="555">
      <c r="C555" s="13"/>
      <c r="D555" s="13"/>
      <c r="E555" s="13"/>
    </row>
    <row r="556">
      <c r="C556" s="13"/>
      <c r="D556" s="13"/>
      <c r="E556" s="13"/>
    </row>
    <row r="557">
      <c r="C557" s="13"/>
      <c r="D557" s="13"/>
      <c r="E557" s="13"/>
    </row>
    <row r="558">
      <c r="C558" s="13"/>
      <c r="D558" s="13"/>
      <c r="E558" s="13"/>
    </row>
    <row r="559">
      <c r="C559" s="13"/>
      <c r="D559" s="13"/>
      <c r="E559" s="13"/>
    </row>
    <row r="560">
      <c r="C560" s="13"/>
      <c r="D560" s="13"/>
      <c r="E560" s="13"/>
    </row>
    <row r="561">
      <c r="C561" s="13"/>
      <c r="D561" s="13"/>
      <c r="E561" s="13"/>
    </row>
    <row r="562">
      <c r="C562" s="13"/>
      <c r="D562" s="13"/>
      <c r="E562" s="13"/>
    </row>
    <row r="563">
      <c r="C563" s="13"/>
      <c r="D563" s="13"/>
      <c r="E563" s="13"/>
    </row>
    <row r="564">
      <c r="C564" s="13"/>
      <c r="D564" s="13"/>
      <c r="E564" s="13"/>
    </row>
    <row r="565">
      <c r="C565" s="13"/>
      <c r="D565" s="13"/>
      <c r="E565" s="13"/>
    </row>
    <row r="566">
      <c r="C566" s="13"/>
      <c r="D566" s="13"/>
      <c r="E566" s="13"/>
    </row>
    <row r="567">
      <c r="C567" s="13"/>
      <c r="D567" s="13"/>
      <c r="E567" s="13"/>
    </row>
    <row r="568">
      <c r="C568" s="13"/>
      <c r="D568" s="13"/>
      <c r="E568" s="13"/>
    </row>
    <row r="569">
      <c r="C569" s="13"/>
      <c r="D569" s="13"/>
      <c r="E569" s="13"/>
    </row>
    <row r="570">
      <c r="C570" s="13"/>
      <c r="D570" s="13"/>
      <c r="E570" s="13"/>
    </row>
    <row r="571">
      <c r="C571" s="13"/>
      <c r="D571" s="13"/>
      <c r="E571" s="13"/>
    </row>
    <row r="572">
      <c r="C572" s="13"/>
      <c r="D572" s="13"/>
      <c r="E572" s="13"/>
    </row>
    <row r="573">
      <c r="C573" s="13"/>
      <c r="D573" s="13"/>
      <c r="E573" s="13"/>
    </row>
    <row r="574">
      <c r="C574" s="13"/>
      <c r="D574" s="13"/>
      <c r="E574" s="13"/>
    </row>
    <row r="575">
      <c r="C575" s="13"/>
      <c r="D575" s="13"/>
      <c r="E575" s="13"/>
    </row>
    <row r="576">
      <c r="C576" s="13"/>
      <c r="D576" s="13"/>
      <c r="E576" s="13"/>
    </row>
    <row r="577">
      <c r="C577" s="13"/>
      <c r="D577" s="13"/>
      <c r="E577" s="13"/>
    </row>
    <row r="578">
      <c r="C578" s="13"/>
      <c r="D578" s="13"/>
      <c r="E578" s="13"/>
    </row>
    <row r="579">
      <c r="C579" s="13"/>
      <c r="D579" s="13"/>
      <c r="E579" s="13"/>
    </row>
    <row r="580">
      <c r="C580" s="13"/>
      <c r="D580" s="13"/>
      <c r="E580" s="13"/>
    </row>
    <row r="581">
      <c r="C581" s="13"/>
      <c r="D581" s="13"/>
      <c r="E581" s="13"/>
    </row>
    <row r="582">
      <c r="C582" s="13"/>
      <c r="D582" s="13"/>
      <c r="E582" s="13"/>
    </row>
    <row r="583">
      <c r="C583" s="13"/>
      <c r="D583" s="13"/>
      <c r="E583" s="13"/>
    </row>
    <row r="584">
      <c r="C584" s="13"/>
      <c r="D584" s="13"/>
      <c r="E584" s="13"/>
    </row>
    <row r="585">
      <c r="C585" s="13"/>
      <c r="D585" s="13"/>
      <c r="E585" s="13"/>
    </row>
    <row r="586">
      <c r="C586" s="13"/>
      <c r="D586" s="13"/>
      <c r="E586" s="13"/>
    </row>
    <row r="587">
      <c r="C587" s="13"/>
      <c r="D587" s="13"/>
      <c r="E587" s="13"/>
    </row>
    <row r="588">
      <c r="C588" s="13"/>
      <c r="D588" s="13"/>
      <c r="E588" s="13"/>
    </row>
    <row r="589">
      <c r="C589" s="13"/>
      <c r="D589" s="13"/>
      <c r="E589" s="13"/>
    </row>
    <row r="590">
      <c r="C590" s="13"/>
      <c r="D590" s="13"/>
      <c r="E590" s="13"/>
    </row>
    <row r="591">
      <c r="C591" s="13"/>
      <c r="D591" s="13"/>
      <c r="E591" s="13"/>
    </row>
    <row r="592">
      <c r="C592" s="13"/>
      <c r="D592" s="13"/>
      <c r="E592" s="13"/>
    </row>
    <row r="593">
      <c r="C593" s="13"/>
      <c r="D593" s="13"/>
      <c r="E593" s="13"/>
    </row>
    <row r="594">
      <c r="C594" s="13"/>
      <c r="D594" s="13"/>
      <c r="E594" s="13"/>
    </row>
    <row r="595">
      <c r="C595" s="13"/>
      <c r="D595" s="13"/>
      <c r="E595" s="13"/>
    </row>
    <row r="596">
      <c r="C596" s="13"/>
      <c r="D596" s="13"/>
      <c r="E596" s="13"/>
    </row>
    <row r="597">
      <c r="C597" s="13"/>
      <c r="D597" s="13"/>
      <c r="E597" s="13"/>
    </row>
    <row r="598">
      <c r="C598" s="13"/>
      <c r="D598" s="13"/>
      <c r="E598" s="13"/>
    </row>
    <row r="599">
      <c r="C599" s="13"/>
      <c r="D599" s="13"/>
      <c r="E599" s="13"/>
    </row>
    <row r="600">
      <c r="C600" s="13"/>
      <c r="D600" s="13"/>
      <c r="E600" s="13"/>
    </row>
    <row r="601">
      <c r="C601" s="13"/>
      <c r="D601" s="13"/>
      <c r="E601" s="13"/>
    </row>
    <row r="602">
      <c r="C602" s="13"/>
      <c r="D602" s="13"/>
      <c r="E602" s="13"/>
    </row>
    <row r="603">
      <c r="C603" s="13"/>
      <c r="D603" s="13"/>
      <c r="E603" s="13"/>
    </row>
    <row r="604">
      <c r="C604" s="13"/>
      <c r="D604" s="13"/>
      <c r="E604" s="13"/>
    </row>
    <row r="605">
      <c r="C605" s="13"/>
      <c r="D605" s="13"/>
      <c r="E605" s="13"/>
    </row>
    <row r="606">
      <c r="C606" s="13"/>
      <c r="D606" s="13"/>
      <c r="E606" s="13"/>
    </row>
    <row r="607">
      <c r="C607" s="13"/>
      <c r="D607" s="13"/>
      <c r="E607" s="13"/>
    </row>
    <row r="608">
      <c r="C608" s="13"/>
      <c r="D608" s="13"/>
      <c r="E608" s="13"/>
    </row>
    <row r="609">
      <c r="C609" s="13"/>
      <c r="D609" s="13"/>
      <c r="E609" s="13"/>
    </row>
    <row r="610">
      <c r="C610" s="13"/>
      <c r="D610" s="13"/>
      <c r="E610" s="13"/>
    </row>
    <row r="611">
      <c r="C611" s="13"/>
      <c r="D611" s="13"/>
      <c r="E611" s="13"/>
    </row>
    <row r="612">
      <c r="C612" s="13"/>
      <c r="D612" s="13"/>
      <c r="E612" s="13"/>
    </row>
    <row r="613">
      <c r="C613" s="13"/>
      <c r="D613" s="13"/>
      <c r="E613" s="13"/>
    </row>
    <row r="614">
      <c r="C614" s="13"/>
      <c r="D614" s="13"/>
      <c r="E614" s="13"/>
    </row>
    <row r="615">
      <c r="C615" s="13"/>
      <c r="D615" s="13"/>
      <c r="E615" s="13"/>
    </row>
    <row r="616">
      <c r="C616" s="13"/>
      <c r="D616" s="13"/>
      <c r="E616" s="13"/>
    </row>
    <row r="617">
      <c r="C617" s="13"/>
      <c r="D617" s="13"/>
      <c r="E617" s="13"/>
    </row>
    <row r="618">
      <c r="C618" s="13"/>
      <c r="D618" s="13"/>
      <c r="E618" s="13"/>
    </row>
    <row r="619">
      <c r="C619" s="13"/>
      <c r="D619" s="13"/>
      <c r="E619" s="13"/>
    </row>
    <row r="620">
      <c r="C620" s="13"/>
      <c r="D620" s="13"/>
      <c r="E620" s="13"/>
    </row>
    <row r="621">
      <c r="C621" s="13"/>
      <c r="D621" s="13"/>
      <c r="E621" s="13"/>
    </row>
    <row r="622">
      <c r="C622" s="13"/>
      <c r="D622" s="13"/>
      <c r="E622" s="13"/>
    </row>
    <row r="623">
      <c r="C623" s="13"/>
      <c r="D623" s="13"/>
      <c r="E623" s="13"/>
    </row>
    <row r="624">
      <c r="C624" s="13"/>
      <c r="D624" s="13"/>
      <c r="E624" s="13"/>
    </row>
    <row r="625">
      <c r="C625" s="13"/>
      <c r="D625" s="13"/>
      <c r="E625" s="13"/>
    </row>
    <row r="626">
      <c r="C626" s="13"/>
      <c r="D626" s="13"/>
      <c r="E626" s="13"/>
    </row>
    <row r="627">
      <c r="C627" s="13"/>
      <c r="D627" s="13"/>
      <c r="E627" s="13"/>
    </row>
    <row r="628">
      <c r="C628" s="13"/>
      <c r="D628" s="13"/>
      <c r="E628" s="13"/>
    </row>
    <row r="629">
      <c r="C629" s="13"/>
      <c r="D629" s="13"/>
      <c r="E629" s="13"/>
    </row>
    <row r="630">
      <c r="C630" s="13"/>
      <c r="D630" s="13"/>
      <c r="E630" s="13"/>
    </row>
    <row r="631">
      <c r="C631" s="13"/>
      <c r="D631" s="13"/>
      <c r="E631" s="13"/>
    </row>
    <row r="632">
      <c r="C632" s="13"/>
      <c r="D632" s="13"/>
      <c r="E632" s="13"/>
    </row>
    <row r="633">
      <c r="C633" s="13"/>
      <c r="D633" s="13"/>
      <c r="E633" s="13"/>
    </row>
    <row r="634">
      <c r="C634" s="13"/>
      <c r="D634" s="13"/>
      <c r="E634" s="13"/>
    </row>
    <row r="635">
      <c r="C635" s="13"/>
      <c r="D635" s="13"/>
      <c r="E635" s="13"/>
    </row>
    <row r="636">
      <c r="C636" s="13"/>
      <c r="D636" s="13"/>
      <c r="E636" s="13"/>
    </row>
    <row r="637">
      <c r="C637" s="13"/>
      <c r="D637" s="13"/>
      <c r="E637" s="13"/>
    </row>
    <row r="638">
      <c r="C638" s="13"/>
      <c r="D638" s="13"/>
      <c r="E638" s="13"/>
    </row>
    <row r="639">
      <c r="C639" s="13"/>
      <c r="D639" s="13"/>
      <c r="E639" s="13"/>
    </row>
    <row r="640">
      <c r="C640" s="13"/>
      <c r="D640" s="13"/>
      <c r="E640" s="13"/>
    </row>
    <row r="641">
      <c r="C641" s="13"/>
      <c r="D641" s="13"/>
      <c r="E641" s="13"/>
    </row>
    <row r="642">
      <c r="C642" s="13"/>
      <c r="D642" s="13"/>
      <c r="E642" s="13"/>
    </row>
    <row r="643">
      <c r="C643" s="13"/>
      <c r="D643" s="13"/>
      <c r="E643" s="13"/>
    </row>
    <row r="644">
      <c r="C644" s="13"/>
      <c r="D644" s="13"/>
      <c r="E644" s="13"/>
    </row>
    <row r="645">
      <c r="C645" s="13"/>
      <c r="D645" s="13"/>
      <c r="E645" s="13"/>
    </row>
    <row r="646">
      <c r="C646" s="13"/>
      <c r="D646" s="13"/>
      <c r="E646" s="13"/>
    </row>
    <row r="647">
      <c r="C647" s="13"/>
      <c r="D647" s="13"/>
      <c r="E647" s="13"/>
    </row>
    <row r="648">
      <c r="C648" s="13"/>
      <c r="D648" s="13"/>
      <c r="E648" s="13"/>
    </row>
    <row r="649">
      <c r="C649" s="13"/>
      <c r="D649" s="13"/>
      <c r="E649" s="13"/>
    </row>
    <row r="650">
      <c r="C650" s="13"/>
      <c r="D650" s="13"/>
      <c r="E650" s="13"/>
    </row>
    <row r="651">
      <c r="C651" s="13"/>
      <c r="D651" s="13"/>
      <c r="E651" s="13"/>
    </row>
    <row r="652">
      <c r="C652" s="13"/>
      <c r="D652" s="13"/>
      <c r="E652" s="13"/>
    </row>
    <row r="653">
      <c r="C653" s="13"/>
      <c r="D653" s="13"/>
      <c r="E653" s="13"/>
    </row>
    <row r="654">
      <c r="C654" s="13"/>
      <c r="D654" s="13"/>
      <c r="E654" s="13"/>
    </row>
    <row r="655">
      <c r="C655" s="13"/>
      <c r="D655" s="13"/>
      <c r="E655" s="13"/>
    </row>
    <row r="656">
      <c r="C656" s="13"/>
      <c r="D656" s="13"/>
      <c r="E656" s="13"/>
    </row>
    <row r="657">
      <c r="C657" s="13"/>
      <c r="D657" s="13"/>
      <c r="E657" s="13"/>
    </row>
    <row r="658">
      <c r="C658" s="13"/>
      <c r="D658" s="13"/>
      <c r="E658" s="13"/>
    </row>
    <row r="659">
      <c r="C659" s="13"/>
      <c r="D659" s="13"/>
      <c r="E659" s="13"/>
    </row>
    <row r="660">
      <c r="C660" s="13"/>
      <c r="D660" s="13"/>
      <c r="E660" s="13"/>
    </row>
    <row r="661">
      <c r="C661" s="13"/>
      <c r="D661" s="13"/>
      <c r="E661" s="13"/>
    </row>
    <row r="662">
      <c r="C662" s="13"/>
      <c r="D662" s="13"/>
      <c r="E662" s="13"/>
    </row>
    <row r="663">
      <c r="C663" s="13"/>
      <c r="D663" s="13"/>
      <c r="E663" s="13"/>
    </row>
    <row r="664">
      <c r="C664" s="13"/>
      <c r="D664" s="13"/>
      <c r="E664" s="13"/>
    </row>
    <row r="665">
      <c r="C665" s="13"/>
      <c r="D665" s="13"/>
      <c r="E665" s="13"/>
    </row>
    <row r="666">
      <c r="C666" s="13"/>
      <c r="D666" s="13"/>
      <c r="E666" s="13"/>
    </row>
    <row r="667">
      <c r="C667" s="13"/>
      <c r="D667" s="13"/>
      <c r="E667" s="13"/>
    </row>
    <row r="668">
      <c r="C668" s="13"/>
      <c r="D668" s="13"/>
      <c r="E668" s="13"/>
    </row>
    <row r="669">
      <c r="C669" s="13"/>
      <c r="D669" s="13"/>
      <c r="E669" s="13"/>
    </row>
    <row r="670">
      <c r="C670" s="13"/>
      <c r="D670" s="13"/>
      <c r="E670" s="13"/>
    </row>
    <row r="671">
      <c r="C671" s="13"/>
      <c r="D671" s="13"/>
      <c r="E671" s="13"/>
    </row>
    <row r="672">
      <c r="C672" s="13"/>
      <c r="D672" s="13"/>
      <c r="E672" s="13"/>
    </row>
    <row r="673">
      <c r="C673" s="13"/>
      <c r="D673" s="13"/>
      <c r="E673" s="13"/>
    </row>
    <row r="674">
      <c r="C674" s="13"/>
      <c r="D674" s="13"/>
      <c r="E674" s="13"/>
    </row>
    <row r="675">
      <c r="C675" s="13"/>
      <c r="D675" s="13"/>
      <c r="E675" s="13"/>
    </row>
    <row r="676">
      <c r="C676" s="13"/>
      <c r="D676" s="13"/>
      <c r="E676" s="13"/>
    </row>
    <row r="677">
      <c r="C677" s="13"/>
      <c r="D677" s="13"/>
      <c r="E677" s="13"/>
    </row>
    <row r="678">
      <c r="C678" s="13"/>
      <c r="D678" s="13"/>
      <c r="E678" s="13"/>
    </row>
    <row r="679">
      <c r="C679" s="13"/>
      <c r="D679" s="13"/>
      <c r="E679" s="13"/>
    </row>
    <row r="680">
      <c r="C680" s="13"/>
      <c r="D680" s="13"/>
      <c r="E680" s="13"/>
    </row>
    <row r="681">
      <c r="C681" s="13"/>
      <c r="D681" s="13"/>
      <c r="E681" s="13"/>
    </row>
    <row r="682">
      <c r="C682" s="13"/>
      <c r="D682" s="13"/>
      <c r="E682" s="13"/>
    </row>
    <row r="683">
      <c r="C683" s="13"/>
      <c r="D683" s="13"/>
      <c r="E683" s="13"/>
    </row>
    <row r="684">
      <c r="C684" s="13"/>
      <c r="D684" s="13"/>
      <c r="E684" s="13"/>
    </row>
    <row r="685">
      <c r="C685" s="13"/>
      <c r="D685" s="13"/>
      <c r="E685" s="13"/>
    </row>
    <row r="686">
      <c r="C686" s="13"/>
      <c r="D686" s="13"/>
      <c r="E686" s="13"/>
    </row>
    <row r="687">
      <c r="C687" s="13"/>
      <c r="D687" s="13"/>
      <c r="E687" s="13"/>
    </row>
    <row r="688">
      <c r="C688" s="13"/>
      <c r="D688" s="13"/>
      <c r="E688" s="13"/>
    </row>
    <row r="689">
      <c r="C689" s="13"/>
      <c r="D689" s="13"/>
      <c r="E689" s="13"/>
    </row>
    <row r="690">
      <c r="C690" s="13"/>
      <c r="D690" s="13"/>
      <c r="E690" s="13"/>
    </row>
    <row r="691">
      <c r="C691" s="13"/>
      <c r="D691" s="13"/>
      <c r="E691" s="13"/>
    </row>
    <row r="692">
      <c r="C692" s="13"/>
      <c r="D692" s="13"/>
      <c r="E692" s="13"/>
    </row>
    <row r="693">
      <c r="C693" s="13"/>
      <c r="D693" s="13"/>
      <c r="E693" s="13"/>
    </row>
    <row r="694">
      <c r="C694" s="13"/>
      <c r="D694" s="13"/>
      <c r="E694" s="13"/>
    </row>
    <row r="695">
      <c r="C695" s="13"/>
      <c r="D695" s="13"/>
      <c r="E695" s="13"/>
    </row>
    <row r="696">
      <c r="C696" s="13"/>
      <c r="D696" s="13"/>
      <c r="E696" s="13"/>
    </row>
    <row r="697">
      <c r="C697" s="13"/>
      <c r="D697" s="13"/>
      <c r="E697" s="13"/>
    </row>
    <row r="698">
      <c r="C698" s="13"/>
      <c r="D698" s="13"/>
      <c r="E698" s="13"/>
    </row>
    <row r="699">
      <c r="C699" s="13"/>
      <c r="D699" s="13"/>
      <c r="E699" s="13"/>
    </row>
    <row r="700">
      <c r="C700" s="13"/>
      <c r="D700" s="13"/>
      <c r="E700" s="13"/>
    </row>
    <row r="701">
      <c r="C701" s="13"/>
      <c r="D701" s="13"/>
      <c r="E701" s="13"/>
    </row>
    <row r="702">
      <c r="C702" s="13"/>
      <c r="D702" s="13"/>
      <c r="E702" s="13"/>
    </row>
    <row r="703">
      <c r="C703" s="13"/>
      <c r="D703" s="13"/>
      <c r="E703" s="13"/>
    </row>
    <row r="704">
      <c r="C704" s="13"/>
      <c r="D704" s="13"/>
      <c r="E704" s="13"/>
    </row>
    <row r="705">
      <c r="C705" s="13"/>
      <c r="D705" s="13"/>
      <c r="E705" s="13"/>
    </row>
    <row r="706">
      <c r="C706" s="13"/>
      <c r="D706" s="13"/>
      <c r="E706" s="13"/>
    </row>
    <row r="707">
      <c r="C707" s="13"/>
      <c r="D707" s="13"/>
      <c r="E707" s="13"/>
    </row>
    <row r="708">
      <c r="C708" s="13"/>
      <c r="D708" s="13"/>
      <c r="E708" s="13"/>
    </row>
    <row r="709">
      <c r="C709" s="13"/>
      <c r="D709" s="13"/>
      <c r="E709" s="13"/>
    </row>
    <row r="710">
      <c r="C710" s="13"/>
      <c r="D710" s="13"/>
      <c r="E710" s="13"/>
    </row>
    <row r="711">
      <c r="C711" s="13"/>
      <c r="D711" s="13"/>
      <c r="E711" s="13"/>
    </row>
    <row r="712">
      <c r="C712" s="13"/>
      <c r="D712" s="13"/>
      <c r="E712" s="13"/>
    </row>
    <row r="713">
      <c r="C713" s="13"/>
      <c r="D713" s="13"/>
      <c r="E713" s="13"/>
    </row>
    <row r="714">
      <c r="C714" s="13"/>
      <c r="D714" s="13"/>
      <c r="E714" s="13"/>
    </row>
    <row r="715">
      <c r="C715" s="13"/>
      <c r="D715" s="13"/>
      <c r="E715" s="13"/>
    </row>
    <row r="716">
      <c r="C716" s="13"/>
      <c r="D716" s="13"/>
      <c r="E716" s="13"/>
    </row>
    <row r="717">
      <c r="C717" s="13"/>
      <c r="D717" s="13"/>
      <c r="E717" s="13"/>
    </row>
    <row r="718">
      <c r="C718" s="13"/>
      <c r="D718" s="13"/>
      <c r="E718" s="13"/>
    </row>
    <row r="719">
      <c r="C719" s="13"/>
      <c r="D719" s="13"/>
      <c r="E719" s="13"/>
    </row>
    <row r="720">
      <c r="C720" s="13"/>
      <c r="D720" s="13"/>
      <c r="E720" s="13"/>
    </row>
    <row r="721">
      <c r="C721" s="13"/>
      <c r="D721" s="13"/>
      <c r="E721" s="13"/>
    </row>
    <row r="722">
      <c r="C722" s="13"/>
      <c r="D722" s="13"/>
      <c r="E722" s="13"/>
    </row>
    <row r="723">
      <c r="C723" s="13"/>
      <c r="D723" s="13"/>
      <c r="E723" s="13"/>
    </row>
    <row r="724">
      <c r="C724" s="13"/>
      <c r="D724" s="13"/>
      <c r="E724" s="13"/>
    </row>
    <row r="725">
      <c r="C725" s="13"/>
      <c r="D725" s="13"/>
      <c r="E725" s="13"/>
    </row>
    <row r="726">
      <c r="C726" s="13"/>
      <c r="D726" s="13"/>
      <c r="E726" s="13"/>
    </row>
    <row r="727">
      <c r="C727" s="13"/>
      <c r="D727" s="13"/>
      <c r="E727" s="13"/>
    </row>
    <row r="728">
      <c r="C728" s="13"/>
      <c r="D728" s="13"/>
      <c r="E728" s="13"/>
    </row>
    <row r="729">
      <c r="C729" s="13"/>
      <c r="D729" s="13"/>
      <c r="E729" s="13"/>
    </row>
    <row r="730">
      <c r="C730" s="13"/>
      <c r="D730" s="13"/>
      <c r="E730" s="13"/>
    </row>
    <row r="731">
      <c r="C731" s="13"/>
      <c r="D731" s="13"/>
      <c r="E731" s="13"/>
    </row>
    <row r="732">
      <c r="C732" s="13"/>
      <c r="D732" s="13"/>
      <c r="E732" s="13"/>
    </row>
    <row r="733">
      <c r="C733" s="13"/>
      <c r="D733" s="13"/>
      <c r="E733" s="13"/>
    </row>
    <row r="734">
      <c r="C734" s="13"/>
      <c r="D734" s="13"/>
      <c r="E734" s="13"/>
    </row>
    <row r="735">
      <c r="C735" s="13"/>
      <c r="D735" s="13"/>
      <c r="E735" s="13"/>
    </row>
    <row r="736">
      <c r="C736" s="13"/>
      <c r="D736" s="13"/>
      <c r="E736" s="13"/>
    </row>
    <row r="737">
      <c r="C737" s="13"/>
      <c r="D737" s="13"/>
      <c r="E737" s="13"/>
    </row>
    <row r="738">
      <c r="C738" s="13"/>
      <c r="D738" s="13"/>
      <c r="E738" s="13"/>
    </row>
    <row r="739">
      <c r="C739" s="13"/>
      <c r="D739" s="13"/>
      <c r="E739" s="13"/>
    </row>
    <row r="740">
      <c r="C740" s="13"/>
      <c r="D740" s="13"/>
      <c r="E740" s="13"/>
    </row>
    <row r="741">
      <c r="C741" s="13"/>
      <c r="D741" s="13"/>
      <c r="E741" s="13"/>
    </row>
    <row r="742">
      <c r="C742" s="13"/>
      <c r="D742" s="13"/>
      <c r="E742" s="13"/>
    </row>
    <row r="743">
      <c r="C743" s="13"/>
      <c r="D743" s="13"/>
      <c r="E743" s="13"/>
    </row>
    <row r="744">
      <c r="C744" s="13"/>
      <c r="D744" s="13"/>
      <c r="E744" s="13"/>
    </row>
    <row r="745">
      <c r="C745" s="13"/>
      <c r="D745" s="13"/>
      <c r="E745" s="13"/>
    </row>
    <row r="746">
      <c r="C746" s="13"/>
      <c r="D746" s="13"/>
      <c r="E746" s="13"/>
    </row>
    <row r="747">
      <c r="C747" s="13"/>
      <c r="D747" s="13"/>
      <c r="E747" s="13"/>
    </row>
    <row r="748">
      <c r="C748" s="13"/>
      <c r="D748" s="13"/>
      <c r="E748" s="13"/>
    </row>
    <row r="749">
      <c r="C749" s="13"/>
      <c r="D749" s="13"/>
      <c r="E749" s="13"/>
    </row>
    <row r="750">
      <c r="C750" s="13"/>
      <c r="D750" s="13"/>
      <c r="E750" s="13"/>
    </row>
    <row r="751">
      <c r="C751" s="13"/>
      <c r="D751" s="13"/>
      <c r="E751" s="13"/>
    </row>
    <row r="752">
      <c r="C752" s="13"/>
      <c r="D752" s="13"/>
      <c r="E752" s="13"/>
    </row>
    <row r="753">
      <c r="C753" s="13"/>
      <c r="D753" s="13"/>
      <c r="E753" s="13"/>
    </row>
    <row r="754">
      <c r="C754" s="13"/>
      <c r="D754" s="13"/>
      <c r="E754" s="13"/>
    </row>
    <row r="755">
      <c r="C755" s="13"/>
      <c r="D755" s="13"/>
      <c r="E755" s="13"/>
    </row>
    <row r="756">
      <c r="C756" s="13"/>
      <c r="D756" s="13"/>
      <c r="E756" s="13"/>
    </row>
    <row r="757">
      <c r="C757" s="13"/>
      <c r="D757" s="13"/>
      <c r="E757" s="13"/>
    </row>
    <row r="758">
      <c r="C758" s="13"/>
      <c r="D758" s="13"/>
      <c r="E758" s="13"/>
    </row>
    <row r="759">
      <c r="C759" s="13"/>
      <c r="D759" s="13"/>
      <c r="E759" s="13"/>
    </row>
    <row r="760">
      <c r="C760" s="13"/>
      <c r="D760" s="13"/>
      <c r="E760" s="13"/>
    </row>
    <row r="761">
      <c r="C761" s="13"/>
      <c r="D761" s="13"/>
      <c r="E761" s="13"/>
    </row>
    <row r="762">
      <c r="C762" s="13"/>
      <c r="D762" s="13"/>
      <c r="E762" s="13"/>
    </row>
    <row r="763">
      <c r="C763" s="13"/>
      <c r="D763" s="13"/>
      <c r="E763" s="13"/>
    </row>
    <row r="764">
      <c r="C764" s="13"/>
      <c r="D764" s="13"/>
      <c r="E764" s="13"/>
    </row>
    <row r="765">
      <c r="C765" s="13"/>
      <c r="D765" s="13"/>
      <c r="E765" s="13"/>
    </row>
    <row r="766">
      <c r="C766" s="13"/>
      <c r="D766" s="13"/>
      <c r="E766" s="13"/>
    </row>
    <row r="767">
      <c r="C767" s="13"/>
      <c r="D767" s="13"/>
      <c r="E767" s="13"/>
    </row>
    <row r="768">
      <c r="C768" s="13"/>
      <c r="D768" s="13"/>
      <c r="E768" s="13"/>
    </row>
    <row r="769">
      <c r="C769" s="13"/>
      <c r="D769" s="13"/>
      <c r="E769" s="13"/>
    </row>
    <row r="770">
      <c r="C770" s="13"/>
      <c r="D770" s="13"/>
      <c r="E770" s="13"/>
    </row>
    <row r="771">
      <c r="C771" s="13"/>
      <c r="D771" s="13"/>
      <c r="E771" s="13"/>
    </row>
    <row r="772">
      <c r="C772" s="13"/>
      <c r="D772" s="13"/>
      <c r="E772" s="13"/>
    </row>
    <row r="773">
      <c r="C773" s="13"/>
      <c r="D773" s="13"/>
      <c r="E773" s="13"/>
    </row>
    <row r="774">
      <c r="C774" s="13"/>
      <c r="D774" s="13"/>
      <c r="E774" s="13"/>
    </row>
    <row r="775">
      <c r="C775" s="13"/>
      <c r="D775" s="13"/>
      <c r="E775" s="13"/>
    </row>
    <row r="776">
      <c r="C776" s="13"/>
      <c r="D776" s="13"/>
      <c r="E776" s="13"/>
    </row>
    <row r="777">
      <c r="C777" s="13"/>
      <c r="D777" s="13"/>
      <c r="E777" s="13"/>
    </row>
    <row r="778">
      <c r="C778" s="13"/>
      <c r="D778" s="13"/>
      <c r="E778" s="13"/>
    </row>
    <row r="779">
      <c r="C779" s="13"/>
      <c r="D779" s="13"/>
      <c r="E779" s="13"/>
    </row>
    <row r="780">
      <c r="C780" s="13"/>
      <c r="D780" s="13"/>
      <c r="E780" s="13"/>
    </row>
    <row r="781">
      <c r="C781" s="13"/>
      <c r="D781" s="13"/>
      <c r="E781" s="13"/>
    </row>
    <row r="782">
      <c r="C782" s="13"/>
      <c r="D782" s="13"/>
      <c r="E782" s="13"/>
    </row>
    <row r="783">
      <c r="C783" s="13"/>
      <c r="D783" s="13"/>
      <c r="E783" s="13"/>
    </row>
    <row r="784">
      <c r="C784" s="13"/>
      <c r="D784" s="13"/>
      <c r="E784" s="13"/>
    </row>
    <row r="785">
      <c r="C785" s="13"/>
      <c r="D785" s="13"/>
      <c r="E785" s="13"/>
    </row>
    <row r="786">
      <c r="C786" s="13"/>
      <c r="D786" s="13"/>
      <c r="E786" s="13"/>
    </row>
    <row r="787">
      <c r="C787" s="13"/>
      <c r="D787" s="13"/>
      <c r="E787" s="13"/>
    </row>
    <row r="788">
      <c r="C788" s="13"/>
      <c r="D788" s="13"/>
      <c r="E788" s="13"/>
    </row>
    <row r="789">
      <c r="C789" s="13"/>
      <c r="D789" s="13"/>
      <c r="E789" s="13"/>
    </row>
    <row r="790">
      <c r="C790" s="13"/>
      <c r="D790" s="13"/>
      <c r="E790" s="13"/>
    </row>
    <row r="791">
      <c r="C791" s="13"/>
      <c r="D791" s="13"/>
      <c r="E791" s="13"/>
    </row>
    <row r="792">
      <c r="C792" s="13"/>
      <c r="D792" s="13"/>
      <c r="E792" s="13"/>
    </row>
    <row r="793">
      <c r="C793" s="13"/>
      <c r="D793" s="13"/>
      <c r="E793" s="13"/>
    </row>
    <row r="794">
      <c r="C794" s="13"/>
      <c r="D794" s="13"/>
      <c r="E794" s="13"/>
    </row>
    <row r="795">
      <c r="C795" s="13"/>
      <c r="D795" s="13"/>
      <c r="E795" s="13"/>
    </row>
    <row r="796">
      <c r="C796" s="13"/>
      <c r="D796" s="13"/>
      <c r="E796" s="13"/>
    </row>
    <row r="797">
      <c r="C797" s="13"/>
      <c r="D797" s="13"/>
      <c r="E797" s="13"/>
    </row>
    <row r="798">
      <c r="C798" s="13"/>
      <c r="D798" s="13"/>
      <c r="E798" s="13"/>
    </row>
    <row r="799">
      <c r="C799" s="13"/>
      <c r="D799" s="13"/>
      <c r="E799" s="13"/>
    </row>
    <row r="800">
      <c r="C800" s="13"/>
      <c r="D800" s="13"/>
      <c r="E800" s="13"/>
    </row>
    <row r="801">
      <c r="C801" s="13"/>
      <c r="D801" s="13"/>
      <c r="E801" s="13"/>
    </row>
    <row r="802">
      <c r="C802" s="13"/>
      <c r="D802" s="13"/>
      <c r="E802" s="13"/>
    </row>
    <row r="803">
      <c r="C803" s="13"/>
      <c r="D803" s="13"/>
      <c r="E803" s="13"/>
    </row>
    <row r="804">
      <c r="C804" s="13"/>
      <c r="D804" s="13"/>
      <c r="E804" s="13"/>
    </row>
    <row r="805">
      <c r="C805" s="13"/>
      <c r="D805" s="13"/>
      <c r="E805" s="13"/>
    </row>
    <row r="806">
      <c r="C806" s="13"/>
      <c r="D806" s="13"/>
      <c r="E806" s="13"/>
    </row>
    <row r="807">
      <c r="C807" s="13"/>
      <c r="D807" s="13"/>
      <c r="E807" s="13"/>
    </row>
    <row r="808">
      <c r="C808" s="13"/>
      <c r="D808" s="13"/>
      <c r="E808" s="13"/>
    </row>
    <row r="809">
      <c r="C809" s="13"/>
      <c r="D809" s="13"/>
      <c r="E809" s="13"/>
    </row>
    <row r="810">
      <c r="C810" s="13"/>
      <c r="D810" s="13"/>
      <c r="E810" s="13"/>
    </row>
    <row r="811">
      <c r="C811" s="13"/>
      <c r="D811" s="13"/>
      <c r="E811" s="13"/>
    </row>
    <row r="812">
      <c r="C812" s="13"/>
      <c r="D812" s="13"/>
      <c r="E812" s="13"/>
    </row>
    <row r="813">
      <c r="C813" s="13"/>
      <c r="D813" s="13"/>
      <c r="E813" s="13"/>
    </row>
    <row r="814">
      <c r="C814" s="13"/>
      <c r="D814" s="13"/>
      <c r="E814" s="13"/>
    </row>
    <row r="815">
      <c r="C815" s="13"/>
      <c r="D815" s="13"/>
      <c r="E815" s="13"/>
    </row>
    <row r="816">
      <c r="C816" s="13"/>
      <c r="D816" s="13"/>
      <c r="E816" s="13"/>
    </row>
    <row r="817">
      <c r="C817" s="13"/>
      <c r="D817" s="13"/>
      <c r="E817" s="13"/>
    </row>
    <row r="818">
      <c r="C818" s="13"/>
      <c r="D818" s="13"/>
      <c r="E818" s="13"/>
    </row>
    <row r="819">
      <c r="C819" s="13"/>
      <c r="D819" s="13"/>
      <c r="E819" s="13"/>
    </row>
    <row r="820">
      <c r="C820" s="13"/>
      <c r="D820" s="13"/>
      <c r="E820" s="13"/>
    </row>
    <row r="821">
      <c r="C821" s="13"/>
      <c r="D821" s="13"/>
      <c r="E821" s="13"/>
    </row>
    <row r="822">
      <c r="C822" s="13"/>
      <c r="D822" s="13"/>
      <c r="E822" s="13"/>
    </row>
    <row r="823">
      <c r="C823" s="13"/>
      <c r="D823" s="13"/>
      <c r="E823" s="13"/>
    </row>
    <row r="824">
      <c r="C824" s="13"/>
      <c r="D824" s="13"/>
      <c r="E824" s="13"/>
    </row>
    <row r="825">
      <c r="C825" s="13"/>
      <c r="D825" s="13"/>
      <c r="E825" s="13"/>
    </row>
    <row r="826">
      <c r="C826" s="13"/>
      <c r="D826" s="13"/>
      <c r="E826" s="13"/>
    </row>
    <row r="827">
      <c r="C827" s="13"/>
      <c r="D827" s="13"/>
      <c r="E827" s="13"/>
    </row>
    <row r="828">
      <c r="C828" s="13"/>
      <c r="D828" s="13"/>
      <c r="E828" s="13"/>
    </row>
    <row r="829">
      <c r="C829" s="13"/>
      <c r="D829" s="13"/>
      <c r="E829" s="13"/>
    </row>
    <row r="830">
      <c r="C830" s="13"/>
      <c r="D830" s="13"/>
      <c r="E830" s="13"/>
    </row>
    <row r="831">
      <c r="C831" s="13"/>
      <c r="D831" s="13"/>
      <c r="E831" s="13"/>
    </row>
    <row r="832">
      <c r="C832" s="13"/>
      <c r="D832" s="13"/>
      <c r="E832" s="13"/>
    </row>
    <row r="833">
      <c r="C833" s="13"/>
      <c r="D833" s="13"/>
      <c r="E833" s="13"/>
    </row>
    <row r="834">
      <c r="C834" s="13"/>
      <c r="D834" s="13"/>
      <c r="E834" s="13"/>
    </row>
    <row r="835">
      <c r="C835" s="13"/>
      <c r="D835" s="13"/>
      <c r="E835" s="13"/>
    </row>
    <row r="836">
      <c r="C836" s="13"/>
      <c r="D836" s="13"/>
      <c r="E836" s="13"/>
    </row>
    <row r="837">
      <c r="C837" s="13"/>
      <c r="D837" s="13"/>
      <c r="E837" s="13"/>
    </row>
    <row r="838">
      <c r="C838" s="13"/>
      <c r="D838" s="13"/>
      <c r="E838" s="13"/>
    </row>
    <row r="839">
      <c r="C839" s="13"/>
      <c r="D839" s="13"/>
      <c r="E839" s="13"/>
    </row>
    <row r="840">
      <c r="C840" s="13"/>
      <c r="D840" s="13"/>
      <c r="E840" s="13"/>
    </row>
    <row r="841">
      <c r="C841" s="13"/>
      <c r="D841" s="13"/>
      <c r="E841" s="13"/>
    </row>
    <row r="842">
      <c r="C842" s="13"/>
      <c r="D842" s="13"/>
      <c r="E842" s="13"/>
    </row>
    <row r="843">
      <c r="C843" s="13"/>
      <c r="D843" s="13"/>
      <c r="E843" s="13"/>
    </row>
    <row r="844">
      <c r="C844" s="13"/>
      <c r="D844" s="13"/>
      <c r="E844" s="13"/>
    </row>
    <row r="845">
      <c r="C845" s="13"/>
      <c r="D845" s="13"/>
      <c r="E845" s="13"/>
    </row>
    <row r="846">
      <c r="C846" s="13"/>
      <c r="D846" s="13"/>
      <c r="E846" s="13"/>
    </row>
    <row r="847">
      <c r="C847" s="13"/>
      <c r="D847" s="13"/>
      <c r="E847" s="13"/>
    </row>
    <row r="848">
      <c r="C848" s="13"/>
      <c r="D848" s="13"/>
      <c r="E848" s="13"/>
    </row>
    <row r="849">
      <c r="C849" s="13"/>
      <c r="D849" s="13"/>
      <c r="E849" s="13"/>
    </row>
    <row r="850">
      <c r="C850" s="13"/>
      <c r="D850" s="13"/>
      <c r="E850" s="13"/>
    </row>
    <row r="851">
      <c r="C851" s="13"/>
      <c r="D851" s="13"/>
      <c r="E851" s="13"/>
    </row>
    <row r="852">
      <c r="C852" s="13"/>
      <c r="D852" s="13"/>
      <c r="E852" s="13"/>
    </row>
    <row r="853">
      <c r="C853" s="13"/>
      <c r="D853" s="13"/>
      <c r="E853" s="13"/>
    </row>
    <row r="854">
      <c r="C854" s="13"/>
      <c r="D854" s="13"/>
      <c r="E854" s="13"/>
    </row>
    <row r="855">
      <c r="C855" s="13"/>
      <c r="D855" s="13"/>
      <c r="E855" s="13"/>
    </row>
    <row r="856">
      <c r="C856" s="13"/>
      <c r="D856" s="13"/>
      <c r="E856" s="13"/>
    </row>
    <row r="857">
      <c r="C857" s="13"/>
      <c r="D857" s="13"/>
      <c r="E857" s="13"/>
    </row>
    <row r="858">
      <c r="C858" s="13"/>
      <c r="D858" s="13"/>
      <c r="E858" s="13"/>
    </row>
    <row r="859">
      <c r="C859" s="13"/>
      <c r="D859" s="13"/>
      <c r="E859" s="13"/>
    </row>
    <row r="860">
      <c r="C860" s="13"/>
      <c r="D860" s="13"/>
      <c r="E860" s="13"/>
    </row>
    <row r="861">
      <c r="C861" s="13"/>
      <c r="D861" s="13"/>
      <c r="E861" s="13"/>
    </row>
    <row r="862">
      <c r="C862" s="13"/>
      <c r="D862" s="13"/>
      <c r="E862" s="13"/>
    </row>
    <row r="863">
      <c r="C863" s="13"/>
      <c r="D863" s="13"/>
      <c r="E863" s="13"/>
    </row>
    <row r="864">
      <c r="C864" s="13"/>
      <c r="D864" s="13"/>
      <c r="E864" s="13"/>
    </row>
    <row r="865">
      <c r="C865" s="13"/>
      <c r="D865" s="13"/>
      <c r="E865" s="13"/>
    </row>
    <row r="866">
      <c r="C866" s="13"/>
      <c r="D866" s="13"/>
      <c r="E866" s="13"/>
    </row>
    <row r="867">
      <c r="C867" s="13"/>
      <c r="D867" s="13"/>
      <c r="E867" s="13"/>
    </row>
    <row r="868">
      <c r="C868" s="13"/>
      <c r="D868" s="13"/>
      <c r="E868" s="13"/>
    </row>
    <row r="869">
      <c r="C869" s="13"/>
      <c r="D869" s="13"/>
      <c r="E869" s="13"/>
    </row>
    <row r="870">
      <c r="C870" s="13"/>
      <c r="D870" s="13"/>
      <c r="E870" s="13"/>
    </row>
    <row r="871">
      <c r="C871" s="13"/>
      <c r="D871" s="13"/>
      <c r="E871" s="13"/>
    </row>
    <row r="872">
      <c r="C872" s="13"/>
      <c r="D872" s="13"/>
      <c r="E872" s="13"/>
    </row>
    <row r="873">
      <c r="C873" s="13"/>
      <c r="D873" s="13"/>
      <c r="E873" s="13"/>
    </row>
    <row r="874">
      <c r="C874" s="13"/>
      <c r="D874" s="13"/>
      <c r="E874" s="13"/>
    </row>
    <row r="875">
      <c r="C875" s="13"/>
      <c r="D875" s="13"/>
      <c r="E875" s="13"/>
    </row>
    <row r="876">
      <c r="C876" s="13"/>
      <c r="D876" s="13"/>
      <c r="E876" s="13"/>
    </row>
    <row r="877">
      <c r="C877" s="13"/>
      <c r="D877" s="13"/>
      <c r="E877" s="13"/>
    </row>
    <row r="878">
      <c r="C878" s="13"/>
      <c r="D878" s="13"/>
      <c r="E878" s="13"/>
    </row>
    <row r="879">
      <c r="C879" s="13"/>
      <c r="D879" s="13"/>
      <c r="E879" s="13"/>
    </row>
    <row r="880">
      <c r="C880" s="13"/>
      <c r="D880" s="13"/>
      <c r="E880" s="13"/>
    </row>
    <row r="881">
      <c r="C881" s="13"/>
      <c r="D881" s="13"/>
      <c r="E881" s="13"/>
    </row>
    <row r="882">
      <c r="C882" s="13"/>
      <c r="D882" s="13"/>
      <c r="E882" s="13"/>
    </row>
    <row r="883">
      <c r="C883" s="13"/>
      <c r="D883" s="13"/>
      <c r="E883" s="13"/>
    </row>
    <row r="884">
      <c r="C884" s="13"/>
      <c r="D884" s="13"/>
      <c r="E884" s="13"/>
    </row>
    <row r="885">
      <c r="C885" s="13"/>
      <c r="D885" s="13"/>
      <c r="E885" s="13"/>
    </row>
    <row r="886">
      <c r="C886" s="13"/>
      <c r="D886" s="13"/>
      <c r="E886" s="13"/>
    </row>
    <row r="887">
      <c r="C887" s="13"/>
      <c r="D887" s="13"/>
      <c r="E887" s="13"/>
    </row>
    <row r="888">
      <c r="C888" s="13"/>
      <c r="D888" s="13"/>
      <c r="E888" s="13"/>
    </row>
    <row r="889">
      <c r="C889" s="13"/>
      <c r="D889" s="13"/>
      <c r="E889" s="13"/>
    </row>
    <row r="890">
      <c r="C890" s="13"/>
      <c r="D890" s="13"/>
      <c r="E890" s="13"/>
    </row>
    <row r="891">
      <c r="C891" s="13"/>
      <c r="D891" s="13"/>
      <c r="E891" s="13"/>
    </row>
    <row r="892">
      <c r="C892" s="13"/>
      <c r="D892" s="13"/>
      <c r="E892" s="13"/>
    </row>
    <row r="893">
      <c r="C893" s="13"/>
      <c r="D893" s="13"/>
      <c r="E893" s="13"/>
    </row>
    <row r="894">
      <c r="C894" s="13"/>
      <c r="D894" s="13"/>
      <c r="E894" s="13"/>
    </row>
    <row r="895">
      <c r="C895" s="13"/>
      <c r="D895" s="13"/>
      <c r="E895" s="13"/>
    </row>
    <row r="896">
      <c r="C896" s="13"/>
      <c r="D896" s="13"/>
      <c r="E896" s="13"/>
    </row>
    <row r="897">
      <c r="C897" s="13"/>
      <c r="D897" s="13"/>
      <c r="E897" s="13"/>
    </row>
    <row r="898">
      <c r="C898" s="13"/>
      <c r="D898" s="13"/>
      <c r="E898" s="13"/>
    </row>
    <row r="899">
      <c r="C899" s="13"/>
      <c r="D899" s="13"/>
      <c r="E899" s="13"/>
    </row>
    <row r="900">
      <c r="C900" s="13"/>
      <c r="D900" s="13"/>
      <c r="E900" s="13"/>
    </row>
    <row r="901">
      <c r="C901" s="13"/>
      <c r="D901" s="13"/>
      <c r="E901" s="13"/>
    </row>
    <row r="902">
      <c r="C902" s="13"/>
      <c r="D902" s="13"/>
      <c r="E902" s="13"/>
    </row>
    <row r="903">
      <c r="C903" s="13"/>
      <c r="D903" s="13"/>
      <c r="E903" s="13"/>
    </row>
    <row r="904">
      <c r="C904" s="13"/>
      <c r="D904" s="13"/>
      <c r="E904" s="13"/>
    </row>
    <row r="905">
      <c r="C905" s="13"/>
      <c r="D905" s="13"/>
      <c r="E905" s="13"/>
    </row>
    <row r="906">
      <c r="C906" s="13"/>
      <c r="D906" s="13"/>
      <c r="E906" s="13"/>
    </row>
    <row r="907">
      <c r="C907" s="13"/>
      <c r="D907" s="13"/>
      <c r="E907" s="13"/>
    </row>
    <row r="908">
      <c r="C908" s="13"/>
      <c r="D908" s="13"/>
      <c r="E908" s="13"/>
    </row>
    <row r="909">
      <c r="C909" s="13"/>
      <c r="D909" s="13"/>
      <c r="E909" s="13"/>
    </row>
    <row r="910">
      <c r="C910" s="13"/>
      <c r="D910" s="13"/>
      <c r="E910" s="13"/>
    </row>
    <row r="911">
      <c r="C911" s="13"/>
      <c r="D911" s="13"/>
      <c r="E911" s="13"/>
    </row>
    <row r="912">
      <c r="C912" s="13"/>
      <c r="D912" s="13"/>
      <c r="E912" s="13"/>
    </row>
    <row r="913">
      <c r="C913" s="13"/>
      <c r="D913" s="13"/>
      <c r="E913" s="13"/>
    </row>
    <row r="914">
      <c r="C914" s="13"/>
      <c r="D914" s="13"/>
      <c r="E914" s="13"/>
    </row>
    <row r="915">
      <c r="C915" s="13"/>
      <c r="D915" s="13"/>
      <c r="E915" s="13"/>
    </row>
    <row r="916">
      <c r="C916" s="13"/>
      <c r="D916" s="13"/>
      <c r="E916" s="13"/>
    </row>
    <row r="917">
      <c r="C917" s="13"/>
      <c r="D917" s="13"/>
      <c r="E917" s="13"/>
    </row>
    <row r="918">
      <c r="C918" s="13"/>
      <c r="D918" s="13"/>
      <c r="E918" s="13"/>
    </row>
    <row r="919">
      <c r="C919" s="13"/>
      <c r="D919" s="13"/>
      <c r="E919" s="13"/>
    </row>
    <row r="920">
      <c r="C920" s="13"/>
      <c r="D920" s="13"/>
      <c r="E920" s="13"/>
    </row>
    <row r="921">
      <c r="C921" s="13"/>
      <c r="D921" s="13"/>
      <c r="E921" s="13"/>
    </row>
    <row r="922">
      <c r="C922" s="13"/>
      <c r="D922" s="13"/>
      <c r="E922" s="13"/>
    </row>
    <row r="923">
      <c r="C923" s="13"/>
      <c r="D923" s="13"/>
      <c r="E923" s="13"/>
    </row>
    <row r="924">
      <c r="C924" s="13"/>
      <c r="D924" s="13"/>
      <c r="E924" s="13"/>
    </row>
    <row r="925">
      <c r="C925" s="13"/>
      <c r="D925" s="13"/>
      <c r="E925" s="13"/>
    </row>
    <row r="926">
      <c r="C926" s="13"/>
      <c r="D926" s="13"/>
      <c r="E926" s="13"/>
    </row>
    <row r="927">
      <c r="C927" s="13"/>
      <c r="D927" s="13"/>
      <c r="E927" s="13"/>
    </row>
    <row r="928">
      <c r="C928" s="13"/>
      <c r="D928" s="13"/>
      <c r="E928" s="13"/>
    </row>
    <row r="929">
      <c r="C929" s="13"/>
      <c r="D929" s="13"/>
      <c r="E929" s="13"/>
    </row>
    <row r="930">
      <c r="C930" s="13"/>
      <c r="D930" s="13"/>
      <c r="E930" s="13"/>
    </row>
    <row r="931">
      <c r="C931" s="13"/>
      <c r="D931" s="13"/>
      <c r="E931" s="13"/>
    </row>
    <row r="932">
      <c r="C932" s="13"/>
      <c r="D932" s="13"/>
      <c r="E932" s="13"/>
    </row>
    <row r="933">
      <c r="C933" s="13"/>
      <c r="D933" s="13"/>
      <c r="E933" s="13"/>
    </row>
    <row r="934">
      <c r="C934" s="13"/>
      <c r="D934" s="13"/>
      <c r="E934" s="13"/>
    </row>
    <row r="935">
      <c r="C935" s="13"/>
      <c r="D935" s="13"/>
      <c r="E935" s="13"/>
    </row>
    <row r="936">
      <c r="C936" s="13"/>
      <c r="D936" s="13"/>
      <c r="E936" s="13"/>
    </row>
    <row r="937">
      <c r="C937" s="13"/>
      <c r="D937" s="13"/>
      <c r="E937" s="13"/>
    </row>
    <row r="938">
      <c r="C938" s="13"/>
      <c r="D938" s="13"/>
      <c r="E938" s="13"/>
    </row>
    <row r="939">
      <c r="C939" s="13"/>
      <c r="D939" s="13"/>
      <c r="E939" s="13"/>
    </row>
    <row r="940">
      <c r="C940" s="13"/>
      <c r="D940" s="13"/>
      <c r="E940" s="13"/>
    </row>
    <row r="941">
      <c r="C941" s="13"/>
      <c r="D941" s="13"/>
      <c r="E941" s="13"/>
    </row>
    <row r="942">
      <c r="C942" s="13"/>
      <c r="D942" s="13"/>
      <c r="E942" s="13"/>
    </row>
    <row r="943">
      <c r="C943" s="13"/>
      <c r="D943" s="13"/>
      <c r="E943" s="13"/>
    </row>
    <row r="944">
      <c r="C944" s="13"/>
      <c r="D944" s="13"/>
      <c r="E944" s="13"/>
    </row>
    <row r="945">
      <c r="C945" s="13"/>
      <c r="D945" s="13"/>
      <c r="E945" s="13"/>
    </row>
    <row r="946">
      <c r="C946" s="13"/>
      <c r="D946" s="13"/>
      <c r="E946" s="13"/>
    </row>
    <row r="947">
      <c r="C947" s="13"/>
      <c r="D947" s="13"/>
      <c r="E947" s="13"/>
    </row>
    <row r="948">
      <c r="C948" s="13"/>
      <c r="D948" s="13"/>
      <c r="E948" s="13"/>
    </row>
    <row r="949">
      <c r="C949" s="13"/>
      <c r="D949" s="13"/>
      <c r="E949" s="13"/>
    </row>
    <row r="950">
      <c r="C950" s="13"/>
      <c r="D950" s="13"/>
      <c r="E950" s="13"/>
    </row>
    <row r="951">
      <c r="C951" s="13"/>
      <c r="D951" s="13"/>
      <c r="E951" s="13"/>
    </row>
    <row r="952">
      <c r="C952" s="13"/>
      <c r="D952" s="13"/>
      <c r="E952" s="13"/>
    </row>
    <row r="953">
      <c r="C953" s="13"/>
      <c r="D953" s="13"/>
      <c r="E953" s="13"/>
    </row>
    <row r="954">
      <c r="C954" s="13"/>
      <c r="D954" s="13"/>
      <c r="E954" s="13"/>
    </row>
    <row r="955">
      <c r="C955" s="13"/>
      <c r="D955" s="13"/>
      <c r="E955" s="13"/>
    </row>
    <row r="956">
      <c r="C956" s="13"/>
      <c r="D956" s="13"/>
      <c r="E956" s="13"/>
    </row>
    <row r="957">
      <c r="C957" s="13"/>
      <c r="D957" s="13"/>
      <c r="E957" s="13"/>
    </row>
    <row r="958">
      <c r="C958" s="13"/>
      <c r="D958" s="13"/>
      <c r="E958" s="13"/>
    </row>
    <row r="959">
      <c r="C959" s="13"/>
      <c r="D959" s="13"/>
      <c r="E959" s="13"/>
    </row>
    <row r="960">
      <c r="C960" s="13"/>
      <c r="D960" s="13"/>
      <c r="E960" s="13"/>
    </row>
    <row r="961">
      <c r="C961" s="13"/>
      <c r="D961" s="13"/>
      <c r="E961" s="13"/>
    </row>
    <row r="962">
      <c r="C962" s="13"/>
      <c r="D962" s="13"/>
      <c r="E962" s="13"/>
    </row>
    <row r="963">
      <c r="C963" s="13"/>
      <c r="D963" s="13"/>
      <c r="E963" s="13"/>
    </row>
    <row r="964">
      <c r="C964" s="13"/>
      <c r="D964" s="13"/>
      <c r="E964" s="13"/>
    </row>
    <row r="965">
      <c r="C965" s="13"/>
      <c r="D965" s="13"/>
      <c r="E965" s="13"/>
    </row>
    <row r="966">
      <c r="C966" s="13"/>
      <c r="D966" s="13"/>
      <c r="E966" s="13"/>
    </row>
    <row r="967">
      <c r="C967" s="13"/>
      <c r="D967" s="13"/>
      <c r="E967" s="13"/>
    </row>
    <row r="968">
      <c r="C968" s="13"/>
      <c r="D968" s="13"/>
      <c r="E968" s="13"/>
    </row>
    <row r="969">
      <c r="C969" s="13"/>
      <c r="D969" s="13"/>
      <c r="E969" s="13"/>
    </row>
    <row r="970">
      <c r="C970" s="13"/>
      <c r="D970" s="13"/>
      <c r="E970" s="13"/>
    </row>
    <row r="971">
      <c r="C971" s="13"/>
      <c r="D971" s="13"/>
      <c r="E971" s="13"/>
    </row>
    <row r="972">
      <c r="C972" s="13"/>
      <c r="D972" s="13"/>
      <c r="E972" s="13"/>
    </row>
    <row r="973">
      <c r="C973" s="13"/>
      <c r="D973" s="13"/>
      <c r="E973" s="13"/>
    </row>
    <row r="974">
      <c r="C974" s="13"/>
      <c r="D974" s="13"/>
      <c r="E974" s="13"/>
    </row>
    <row r="975">
      <c r="C975" s="13"/>
      <c r="D975" s="13"/>
      <c r="E975" s="13"/>
    </row>
    <row r="976">
      <c r="C976" s="13"/>
      <c r="D976" s="13"/>
      <c r="E976" s="13"/>
    </row>
    <row r="977">
      <c r="C977" s="13"/>
      <c r="D977" s="13"/>
      <c r="E977" s="13"/>
    </row>
    <row r="978">
      <c r="C978" s="13"/>
      <c r="D978" s="13"/>
      <c r="E978" s="13"/>
    </row>
    <row r="979">
      <c r="C979" s="13"/>
      <c r="D979" s="13"/>
      <c r="E979" s="13"/>
    </row>
    <row r="980">
      <c r="C980" s="13"/>
      <c r="D980" s="13"/>
      <c r="E980" s="13"/>
    </row>
    <row r="981">
      <c r="C981" s="13"/>
      <c r="D981" s="13"/>
      <c r="E981" s="13"/>
    </row>
    <row r="982">
      <c r="C982" s="13"/>
      <c r="D982" s="13"/>
      <c r="E982" s="13"/>
    </row>
    <row r="983">
      <c r="C983" s="13"/>
      <c r="D983" s="13"/>
      <c r="E983" s="13"/>
    </row>
    <row r="984">
      <c r="C984" s="13"/>
      <c r="D984" s="13"/>
      <c r="E984" s="13"/>
    </row>
    <row r="985">
      <c r="C985" s="13"/>
      <c r="D985" s="13"/>
      <c r="E985" s="13"/>
    </row>
    <row r="986">
      <c r="C986" s="13"/>
      <c r="D986" s="13"/>
      <c r="E986" s="13"/>
    </row>
    <row r="987">
      <c r="C987" s="13"/>
      <c r="D987" s="13"/>
      <c r="E987" s="13"/>
    </row>
    <row r="988">
      <c r="C988" s="13"/>
      <c r="D988" s="13"/>
      <c r="E988" s="13"/>
    </row>
    <row r="989">
      <c r="C989" s="13"/>
      <c r="D989" s="13"/>
      <c r="E989" s="13"/>
    </row>
    <row r="990">
      <c r="C990" s="13"/>
      <c r="D990" s="13"/>
      <c r="E990" s="13"/>
    </row>
    <row r="991">
      <c r="C991" s="13"/>
      <c r="D991" s="13"/>
      <c r="E991" s="13"/>
    </row>
    <row r="992">
      <c r="C992" s="13"/>
      <c r="D992" s="13"/>
      <c r="E992" s="13"/>
    </row>
    <row r="993">
      <c r="C993" s="13"/>
      <c r="D993" s="13"/>
      <c r="E993" s="13"/>
    </row>
    <row r="994">
      <c r="C994" s="13"/>
      <c r="D994" s="13"/>
      <c r="E994" s="13"/>
    </row>
    <row r="995">
      <c r="C995" s="13"/>
      <c r="D995" s="13"/>
      <c r="E995" s="13"/>
    </row>
    <row r="996">
      <c r="C996" s="13"/>
      <c r="D996" s="13"/>
      <c r="E996" s="13"/>
    </row>
    <row r="997">
      <c r="C997" s="13"/>
      <c r="D997" s="13"/>
      <c r="E997" s="13"/>
    </row>
    <row r="998">
      <c r="C998" s="13"/>
      <c r="D998" s="13"/>
      <c r="E998" s="13"/>
    </row>
    <row r="999">
      <c r="C999" s="13"/>
      <c r="D999" s="13"/>
      <c r="E999" s="13"/>
    </row>
    <row r="1000">
      <c r="C1000" s="13"/>
      <c r="D1000" s="13"/>
      <c r="E1000" s="13"/>
    </row>
    <row r="1001">
      <c r="C1001" s="13"/>
      <c r="D1001" s="13"/>
      <c r="E1001" s="1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</row>
    <row r="2">
      <c r="A2" s="1" t="s">
        <v>214</v>
      </c>
    </row>
    <row r="3">
      <c r="A3" s="1" t="s">
        <v>215</v>
      </c>
    </row>
    <row r="4">
      <c r="A4" s="1" t="s">
        <v>216</v>
      </c>
    </row>
    <row r="5">
      <c r="A5" s="1" t="s">
        <v>217</v>
      </c>
    </row>
    <row r="6">
      <c r="A6" s="1" t="s">
        <v>218</v>
      </c>
    </row>
    <row r="7">
      <c r="A7" s="1" t="s">
        <v>219</v>
      </c>
    </row>
    <row r="8">
      <c r="A8" s="1" t="s">
        <v>220</v>
      </c>
    </row>
    <row r="9">
      <c r="A9" s="1" t="s">
        <v>221</v>
      </c>
    </row>
    <row r="10">
      <c r="A10" s="1" t="s">
        <v>222</v>
      </c>
    </row>
    <row r="11">
      <c r="A11" s="1" t="s">
        <v>223</v>
      </c>
    </row>
    <row r="12">
      <c r="A12" s="1" t="s">
        <v>224</v>
      </c>
    </row>
    <row r="13">
      <c r="A13" s="1" t="s">
        <v>225</v>
      </c>
    </row>
    <row r="14">
      <c r="A14" s="1" t="s">
        <v>226</v>
      </c>
    </row>
    <row r="15">
      <c r="A15" s="1" t="s">
        <v>227</v>
      </c>
    </row>
    <row r="16">
      <c r="A16" s="1" t="s">
        <v>228</v>
      </c>
    </row>
    <row r="17">
      <c r="A17" s="1" t="s">
        <v>229</v>
      </c>
    </row>
    <row r="18">
      <c r="A18" s="1" t="s">
        <v>230</v>
      </c>
    </row>
    <row r="19">
      <c r="A19" s="1" t="s">
        <v>231</v>
      </c>
    </row>
    <row r="20">
      <c r="A20" s="1" t="s">
        <v>232</v>
      </c>
    </row>
    <row r="21">
      <c r="A21" s="1" t="s">
        <v>233</v>
      </c>
    </row>
    <row r="22">
      <c r="A22" s="1" t="s">
        <v>234</v>
      </c>
    </row>
    <row r="23">
      <c r="A23" s="1" t="s">
        <v>235</v>
      </c>
    </row>
    <row r="24">
      <c r="A24" s="1" t="s">
        <v>236</v>
      </c>
    </row>
    <row r="25">
      <c r="A25" s="1" t="s">
        <v>237</v>
      </c>
    </row>
    <row r="26">
      <c r="A26" s="1" t="s">
        <v>238</v>
      </c>
    </row>
    <row r="27">
      <c r="A27" s="1" t="s">
        <v>239</v>
      </c>
    </row>
    <row r="28">
      <c r="A28" s="1" t="s">
        <v>240</v>
      </c>
    </row>
    <row r="29">
      <c r="A29" s="1" t="s">
        <v>241</v>
      </c>
    </row>
    <row r="30">
      <c r="A30" s="1" t="s">
        <v>242</v>
      </c>
    </row>
    <row r="31">
      <c r="A31" s="1" t="s">
        <v>243</v>
      </c>
    </row>
    <row r="32">
      <c r="A32" s="1" t="s">
        <v>244</v>
      </c>
    </row>
    <row r="33">
      <c r="A33" s="1" t="s">
        <v>245</v>
      </c>
    </row>
    <row r="34">
      <c r="A34" s="1" t="s">
        <v>246</v>
      </c>
    </row>
    <row r="35">
      <c r="A35" s="1" t="s">
        <v>247</v>
      </c>
    </row>
    <row r="36">
      <c r="A36" s="1" t="s">
        <v>248</v>
      </c>
    </row>
    <row r="37">
      <c r="A37" s="1" t="s">
        <v>249</v>
      </c>
    </row>
    <row r="38">
      <c r="A38" s="1" t="s">
        <v>250</v>
      </c>
    </row>
    <row r="39">
      <c r="A39" s="1" t="s">
        <v>251</v>
      </c>
    </row>
    <row r="40">
      <c r="A40" s="1" t="s">
        <v>252</v>
      </c>
    </row>
    <row r="41">
      <c r="A41" s="1" t="s">
        <v>253</v>
      </c>
    </row>
    <row r="42">
      <c r="A42" s="1" t="s">
        <v>254</v>
      </c>
    </row>
    <row r="43">
      <c r="A43" s="1" t="s">
        <v>255</v>
      </c>
    </row>
    <row r="44">
      <c r="A44" s="1" t="s">
        <v>256</v>
      </c>
    </row>
    <row r="45">
      <c r="A45" s="1" t="s">
        <v>257</v>
      </c>
    </row>
    <row r="46">
      <c r="A46" s="1" t="s">
        <v>258</v>
      </c>
    </row>
    <row r="47">
      <c r="A47" s="1" t="s">
        <v>259</v>
      </c>
    </row>
    <row r="48">
      <c r="A48" s="1" t="s">
        <v>260</v>
      </c>
    </row>
    <row r="49">
      <c r="A49" s="1" t="s">
        <v>261</v>
      </c>
    </row>
    <row r="50">
      <c r="A50" s="1" t="s">
        <v>262</v>
      </c>
    </row>
    <row r="51">
      <c r="A51" s="1" t="s">
        <v>263</v>
      </c>
    </row>
    <row r="52">
      <c r="A52" s="1" t="s">
        <v>264</v>
      </c>
    </row>
    <row r="53">
      <c r="A53" s="1" t="s">
        <v>265</v>
      </c>
    </row>
    <row r="54">
      <c r="A54" s="1" t="s">
        <v>266</v>
      </c>
    </row>
    <row r="55">
      <c r="A55" s="1" t="s">
        <v>267</v>
      </c>
    </row>
    <row r="56">
      <c r="A56" s="1" t="s">
        <v>268</v>
      </c>
    </row>
    <row r="57">
      <c r="A57" s="1" t="s">
        <v>269</v>
      </c>
    </row>
    <row r="58">
      <c r="A58" s="1" t="s">
        <v>270</v>
      </c>
    </row>
    <row r="59">
      <c r="A59" s="1" t="s">
        <v>271</v>
      </c>
    </row>
    <row r="60">
      <c r="A60" s="1" t="s">
        <v>272</v>
      </c>
    </row>
    <row r="61">
      <c r="A61" s="1" t="s">
        <v>273</v>
      </c>
    </row>
    <row r="62">
      <c r="A62" s="1" t="s">
        <v>274</v>
      </c>
    </row>
    <row r="63">
      <c r="A63" s="1" t="s">
        <v>275</v>
      </c>
    </row>
    <row r="64">
      <c r="A64" s="1" t="s">
        <v>276</v>
      </c>
    </row>
    <row r="65">
      <c r="A65" s="1" t="s">
        <v>277</v>
      </c>
    </row>
    <row r="66">
      <c r="A66" s="1" t="s">
        <v>278</v>
      </c>
    </row>
    <row r="67">
      <c r="A67" s="1" t="s">
        <v>279</v>
      </c>
    </row>
    <row r="68">
      <c r="A68" s="1" t="s">
        <v>280</v>
      </c>
    </row>
    <row r="69">
      <c r="A69" s="1" t="s">
        <v>281</v>
      </c>
    </row>
    <row r="70">
      <c r="A70" s="1" t="s">
        <v>282</v>
      </c>
    </row>
    <row r="71">
      <c r="A71" s="1" t="s">
        <v>283</v>
      </c>
    </row>
    <row r="72">
      <c r="A72" s="1" t="s">
        <v>284</v>
      </c>
    </row>
    <row r="73">
      <c r="A73" s="1" t="s">
        <v>285</v>
      </c>
    </row>
    <row r="74">
      <c r="A74" s="1" t="s">
        <v>286</v>
      </c>
    </row>
    <row r="75">
      <c r="A75" s="1" t="s">
        <v>287</v>
      </c>
    </row>
    <row r="76">
      <c r="A76" s="1" t="s">
        <v>288</v>
      </c>
    </row>
    <row r="77">
      <c r="A77" s="1" t="s">
        <v>289</v>
      </c>
    </row>
    <row r="78">
      <c r="A78" s="1" t="s">
        <v>290</v>
      </c>
    </row>
    <row r="79">
      <c r="A79" s="1" t="s">
        <v>291</v>
      </c>
    </row>
    <row r="80">
      <c r="A80" s="1" t="s">
        <v>292</v>
      </c>
    </row>
    <row r="81">
      <c r="A81" s="1" t="s">
        <v>293</v>
      </c>
    </row>
    <row r="82">
      <c r="A82" s="1" t="s">
        <v>294</v>
      </c>
    </row>
    <row r="83">
      <c r="A83" s="1" t="s">
        <v>295</v>
      </c>
    </row>
    <row r="84">
      <c r="A84" s="1" t="s">
        <v>296</v>
      </c>
    </row>
    <row r="85">
      <c r="A85" s="1" t="s">
        <v>297</v>
      </c>
    </row>
    <row r="86">
      <c r="A86" s="1" t="s">
        <v>298</v>
      </c>
    </row>
    <row r="87">
      <c r="A87" s="1" t="s">
        <v>299</v>
      </c>
    </row>
    <row r="88">
      <c r="A88" s="1" t="s">
        <v>300</v>
      </c>
    </row>
    <row r="89">
      <c r="A89" s="1" t="s">
        <v>301</v>
      </c>
    </row>
    <row r="90">
      <c r="A90" s="1" t="s">
        <v>302</v>
      </c>
    </row>
    <row r="91">
      <c r="A91" s="1" t="s">
        <v>303</v>
      </c>
    </row>
    <row r="92">
      <c r="A92" s="1" t="s">
        <v>304</v>
      </c>
    </row>
    <row r="93">
      <c r="A93" s="1" t="s">
        <v>305</v>
      </c>
    </row>
    <row r="94">
      <c r="A94" s="1" t="s">
        <v>306</v>
      </c>
    </row>
    <row r="95">
      <c r="A95" s="1" t="s">
        <v>307</v>
      </c>
    </row>
    <row r="96">
      <c r="A96" s="1" t="s">
        <v>308</v>
      </c>
    </row>
    <row r="97">
      <c r="A97" s="1" t="s">
        <v>309</v>
      </c>
    </row>
    <row r="98">
      <c r="A98" s="1" t="s">
        <v>310</v>
      </c>
    </row>
    <row r="99">
      <c r="A99" s="1" t="s">
        <v>311</v>
      </c>
    </row>
    <row r="100">
      <c r="A100" s="1" t="s">
        <v>312</v>
      </c>
    </row>
    <row r="101">
      <c r="A101" s="1" t="s">
        <v>313</v>
      </c>
    </row>
    <row r="102">
      <c r="A102" s="1" t="s">
        <v>314</v>
      </c>
    </row>
    <row r="103">
      <c r="A103" s="1" t="s">
        <v>315</v>
      </c>
    </row>
    <row r="104">
      <c r="A104" s="1" t="s">
        <v>316</v>
      </c>
    </row>
    <row r="105">
      <c r="A105" s="1" t="s">
        <v>317</v>
      </c>
    </row>
    <row r="106">
      <c r="A106" s="1" t="s">
        <v>318</v>
      </c>
    </row>
    <row r="107">
      <c r="A107" s="1" t="s">
        <v>319</v>
      </c>
    </row>
    <row r="108">
      <c r="A108" s="1" t="s">
        <v>320</v>
      </c>
    </row>
    <row r="109">
      <c r="A109" s="1" t="s">
        <v>321</v>
      </c>
    </row>
    <row r="110">
      <c r="A110" s="1" t="s">
        <v>322</v>
      </c>
    </row>
    <row r="111">
      <c r="A111" s="1" t="s">
        <v>323</v>
      </c>
    </row>
    <row r="112">
      <c r="A112" s="1" t="s">
        <v>324</v>
      </c>
    </row>
    <row r="113">
      <c r="A113" s="1" t="s">
        <v>325</v>
      </c>
    </row>
    <row r="114">
      <c r="A114" s="1" t="s">
        <v>326</v>
      </c>
    </row>
    <row r="115">
      <c r="A115" s="1" t="s">
        <v>327</v>
      </c>
    </row>
    <row r="116">
      <c r="A116" s="1" t="s">
        <v>328</v>
      </c>
    </row>
    <row r="117">
      <c r="A117" s="1" t="s">
        <v>329</v>
      </c>
    </row>
    <row r="118">
      <c r="A118" s="1" t="s">
        <v>330</v>
      </c>
    </row>
    <row r="119">
      <c r="A119" s="1" t="s">
        <v>331</v>
      </c>
    </row>
    <row r="120">
      <c r="A120" s="1" t="s">
        <v>332</v>
      </c>
    </row>
    <row r="121">
      <c r="A121" s="1" t="s">
        <v>333</v>
      </c>
    </row>
    <row r="122">
      <c r="A122" s="1" t="s">
        <v>334</v>
      </c>
    </row>
    <row r="123">
      <c r="A123" s="1" t="s">
        <v>335</v>
      </c>
    </row>
    <row r="124">
      <c r="A124" s="1" t="s">
        <v>336</v>
      </c>
    </row>
    <row r="125">
      <c r="A125" s="1" t="s">
        <v>337</v>
      </c>
    </row>
    <row r="126">
      <c r="A126" s="1" t="s">
        <v>338</v>
      </c>
    </row>
    <row r="127">
      <c r="A127" s="1" t="s">
        <v>339</v>
      </c>
    </row>
    <row r="128">
      <c r="A128" s="1" t="s">
        <v>340</v>
      </c>
    </row>
    <row r="129">
      <c r="A129" s="1" t="s">
        <v>341</v>
      </c>
    </row>
    <row r="130">
      <c r="A130" s="1" t="s">
        <v>342</v>
      </c>
    </row>
    <row r="131">
      <c r="A131" s="1" t="s">
        <v>343</v>
      </c>
    </row>
    <row r="132">
      <c r="A132" s="1" t="s">
        <v>344</v>
      </c>
    </row>
    <row r="133">
      <c r="A133" s="1" t="s">
        <v>345</v>
      </c>
    </row>
    <row r="134">
      <c r="A134" s="1" t="s">
        <v>346</v>
      </c>
    </row>
    <row r="135">
      <c r="A135" s="1" t="s">
        <v>347</v>
      </c>
    </row>
    <row r="136">
      <c r="A136" s="1" t="s">
        <v>348</v>
      </c>
    </row>
    <row r="137">
      <c r="A137" s="1" t="s">
        <v>349</v>
      </c>
    </row>
    <row r="138">
      <c r="A138" s="1" t="s">
        <v>350</v>
      </c>
    </row>
    <row r="139">
      <c r="A139" s="1" t="s">
        <v>351</v>
      </c>
    </row>
    <row r="140">
      <c r="A140" s="1" t="s">
        <v>352</v>
      </c>
    </row>
    <row r="141">
      <c r="A141" s="1" t="s">
        <v>353</v>
      </c>
    </row>
    <row r="142">
      <c r="A142" s="1" t="s">
        <v>354</v>
      </c>
    </row>
    <row r="143">
      <c r="A143" s="1" t="s">
        <v>355</v>
      </c>
    </row>
    <row r="144">
      <c r="A144" s="1" t="s">
        <v>356</v>
      </c>
    </row>
    <row r="145">
      <c r="A145" s="1" t="s">
        <v>357</v>
      </c>
    </row>
    <row r="146">
      <c r="A146" s="1" t="s">
        <v>358</v>
      </c>
    </row>
    <row r="147">
      <c r="A147" s="1" t="s">
        <v>359</v>
      </c>
    </row>
    <row r="148">
      <c r="A148" s="1" t="s">
        <v>360</v>
      </c>
    </row>
    <row r="149">
      <c r="A149" s="1" t="s">
        <v>361</v>
      </c>
    </row>
    <row r="150">
      <c r="A150" s="1" t="s">
        <v>362</v>
      </c>
    </row>
    <row r="151">
      <c r="A151" s="1" t="s">
        <v>363</v>
      </c>
    </row>
    <row r="152">
      <c r="A152" s="1" t="s">
        <v>364</v>
      </c>
    </row>
    <row r="153">
      <c r="A153" s="1" t="s">
        <v>365</v>
      </c>
    </row>
    <row r="154">
      <c r="A154" s="1" t="s">
        <v>366</v>
      </c>
    </row>
    <row r="155">
      <c r="A155" s="1" t="s">
        <v>367</v>
      </c>
    </row>
    <row r="156">
      <c r="A156" s="1" t="s">
        <v>368</v>
      </c>
    </row>
    <row r="157">
      <c r="A157" s="1" t="s">
        <v>369</v>
      </c>
    </row>
    <row r="158">
      <c r="A158" s="1" t="s">
        <v>370</v>
      </c>
    </row>
    <row r="159">
      <c r="A159" s="1" t="s">
        <v>371</v>
      </c>
    </row>
    <row r="160">
      <c r="A160" s="1" t="s">
        <v>372</v>
      </c>
    </row>
    <row r="161">
      <c r="A161" s="1" t="s">
        <v>373</v>
      </c>
    </row>
    <row r="162">
      <c r="A162" s="1" t="s">
        <v>374</v>
      </c>
    </row>
    <row r="163">
      <c r="A163" s="1" t="s">
        <v>375</v>
      </c>
    </row>
    <row r="164">
      <c r="A164" s="1" t="s">
        <v>376</v>
      </c>
    </row>
    <row r="165">
      <c r="A165" s="1" t="s">
        <v>377</v>
      </c>
    </row>
    <row r="166">
      <c r="A166" s="1" t="s">
        <v>378</v>
      </c>
    </row>
    <row r="167">
      <c r="A167" s="1" t="s">
        <v>379</v>
      </c>
    </row>
    <row r="168">
      <c r="A168" s="1" t="s">
        <v>380</v>
      </c>
    </row>
    <row r="169">
      <c r="A169" s="1" t="s">
        <v>381</v>
      </c>
    </row>
    <row r="170">
      <c r="A170" s="1" t="s">
        <v>382</v>
      </c>
    </row>
    <row r="171">
      <c r="A171" s="1" t="s">
        <v>383</v>
      </c>
    </row>
    <row r="172">
      <c r="A172" s="1" t="s">
        <v>384</v>
      </c>
    </row>
    <row r="173">
      <c r="A173" s="1" t="s">
        <v>385</v>
      </c>
    </row>
    <row r="174">
      <c r="A174" s="1" t="s">
        <v>386</v>
      </c>
    </row>
    <row r="175">
      <c r="A175" s="1" t="s">
        <v>387</v>
      </c>
    </row>
    <row r="176">
      <c r="A176" s="1" t="s">
        <v>388</v>
      </c>
    </row>
    <row r="177">
      <c r="A177" s="1" t="s">
        <v>389</v>
      </c>
    </row>
    <row r="178">
      <c r="A178" s="1" t="s">
        <v>390</v>
      </c>
    </row>
    <row r="179">
      <c r="A179" s="1" t="s">
        <v>391</v>
      </c>
    </row>
    <row r="180">
      <c r="A180" s="1" t="s">
        <v>392</v>
      </c>
    </row>
    <row r="181">
      <c r="A181" s="1" t="s">
        <v>393</v>
      </c>
    </row>
    <row r="182">
      <c r="A182" s="1" t="s">
        <v>394</v>
      </c>
    </row>
    <row r="183">
      <c r="A183" s="1" t="s">
        <v>395</v>
      </c>
    </row>
    <row r="184">
      <c r="A184" s="1" t="s">
        <v>396</v>
      </c>
    </row>
    <row r="185">
      <c r="A185" s="1" t="s">
        <v>397</v>
      </c>
    </row>
    <row r="186">
      <c r="A186" s="1" t="s">
        <v>398</v>
      </c>
    </row>
    <row r="187">
      <c r="A187" s="1" t="s">
        <v>399</v>
      </c>
    </row>
    <row r="188">
      <c r="A188" s="1" t="s">
        <v>400</v>
      </c>
    </row>
    <row r="189">
      <c r="A189" s="1" t="s">
        <v>401</v>
      </c>
    </row>
    <row r="190">
      <c r="A190" s="1" t="s">
        <v>402</v>
      </c>
    </row>
    <row r="191">
      <c r="A191" s="1" t="s">
        <v>403</v>
      </c>
    </row>
    <row r="192">
      <c r="A192" s="1" t="s">
        <v>404</v>
      </c>
    </row>
    <row r="193">
      <c r="A193" s="1" t="s">
        <v>405</v>
      </c>
    </row>
    <row r="194">
      <c r="A194" s="1" t="s">
        <v>406</v>
      </c>
    </row>
    <row r="195">
      <c r="A195" s="1" t="s">
        <v>407</v>
      </c>
    </row>
    <row r="196">
      <c r="A196" s="1" t="s">
        <v>408</v>
      </c>
    </row>
    <row r="197">
      <c r="A197" s="1" t="s">
        <v>409</v>
      </c>
    </row>
    <row r="198">
      <c r="A198" s="1" t="s">
        <v>410</v>
      </c>
    </row>
    <row r="199">
      <c r="A199" s="1" t="s">
        <v>411</v>
      </c>
    </row>
    <row r="200">
      <c r="A200" s="1" t="s">
        <v>412</v>
      </c>
    </row>
    <row r="201">
      <c r="A201" s="1" t="s">
        <v>413</v>
      </c>
    </row>
    <row r="202">
      <c r="A202" s="1" t="s">
        <v>414</v>
      </c>
    </row>
    <row r="203">
      <c r="A203" s="1" t="s">
        <v>415</v>
      </c>
    </row>
    <row r="204">
      <c r="A204" s="1" t="s">
        <v>416</v>
      </c>
    </row>
    <row r="205">
      <c r="A205" s="1" t="s">
        <v>417</v>
      </c>
    </row>
    <row r="206">
      <c r="A206" s="1" t="s">
        <v>418</v>
      </c>
    </row>
    <row r="207">
      <c r="A207" s="1" t="s">
        <v>419</v>
      </c>
    </row>
    <row r="208">
      <c r="A208" s="1" t="s">
        <v>420</v>
      </c>
    </row>
    <row r="209">
      <c r="A209" s="1" t="s">
        <v>421</v>
      </c>
    </row>
    <row r="210">
      <c r="A210" s="1" t="s">
        <v>422</v>
      </c>
    </row>
    <row r="211">
      <c r="A211" s="1" t="s">
        <v>423</v>
      </c>
    </row>
    <row r="212">
      <c r="A212" s="1" t="s">
        <v>424</v>
      </c>
    </row>
    <row r="213">
      <c r="A213" s="1" t="s">
        <v>425</v>
      </c>
    </row>
    <row r="214">
      <c r="A214" s="1" t="s">
        <v>426</v>
      </c>
    </row>
    <row r="215">
      <c r="A215" s="1" t="s">
        <v>427</v>
      </c>
    </row>
    <row r="216">
      <c r="A216" s="1" t="s">
        <v>428</v>
      </c>
    </row>
    <row r="217">
      <c r="A217" s="1" t="s">
        <v>429</v>
      </c>
    </row>
    <row r="218">
      <c r="A218" s="1" t="s">
        <v>430</v>
      </c>
    </row>
    <row r="219">
      <c r="A219" s="1" t="s">
        <v>431</v>
      </c>
    </row>
    <row r="220">
      <c r="A220" s="1" t="s">
        <v>432</v>
      </c>
    </row>
    <row r="221">
      <c r="A221" s="1" t="s">
        <v>433</v>
      </c>
    </row>
    <row r="222">
      <c r="A222" s="1" t="s">
        <v>434</v>
      </c>
    </row>
    <row r="223">
      <c r="A223" s="1" t="s">
        <v>435</v>
      </c>
    </row>
    <row r="224">
      <c r="A224" s="1" t="s">
        <v>436</v>
      </c>
    </row>
    <row r="225">
      <c r="A225" s="1" t="s">
        <v>437</v>
      </c>
    </row>
    <row r="226">
      <c r="A226" s="1" t="s">
        <v>438</v>
      </c>
    </row>
    <row r="227">
      <c r="A227" s="1" t="s">
        <v>439</v>
      </c>
    </row>
    <row r="228">
      <c r="A228" s="1" t="s">
        <v>440</v>
      </c>
    </row>
    <row r="229">
      <c r="A229" s="1" t="s">
        <v>441</v>
      </c>
    </row>
    <row r="230">
      <c r="A230" s="1" t="s">
        <v>442</v>
      </c>
    </row>
    <row r="231">
      <c r="A231" s="1" t="s">
        <v>443</v>
      </c>
    </row>
    <row r="232">
      <c r="A232" s="1" t="s">
        <v>444</v>
      </c>
    </row>
    <row r="233">
      <c r="A233" s="1" t="s">
        <v>445</v>
      </c>
    </row>
    <row r="234">
      <c r="A234" s="1" t="s">
        <v>446</v>
      </c>
    </row>
    <row r="235">
      <c r="A235" s="1" t="s">
        <v>447</v>
      </c>
    </row>
    <row r="236">
      <c r="A236" s="1" t="s">
        <v>448</v>
      </c>
    </row>
    <row r="237">
      <c r="A237" s="1" t="s">
        <v>449</v>
      </c>
    </row>
    <row r="238">
      <c r="A238" s="1" t="s">
        <v>450</v>
      </c>
    </row>
    <row r="239">
      <c r="A239" s="1" t="s">
        <v>451</v>
      </c>
    </row>
    <row r="240">
      <c r="A240" s="1" t="s">
        <v>452</v>
      </c>
    </row>
    <row r="241">
      <c r="A241" s="1" t="s">
        <v>453</v>
      </c>
    </row>
    <row r="242">
      <c r="A242" s="1" t="s">
        <v>454</v>
      </c>
    </row>
    <row r="243">
      <c r="A243" s="1" t="s">
        <v>455</v>
      </c>
    </row>
    <row r="244">
      <c r="A244" s="1" t="s">
        <v>456</v>
      </c>
    </row>
    <row r="245">
      <c r="A245" s="1" t="s">
        <v>457</v>
      </c>
    </row>
    <row r="246">
      <c r="A246" s="1" t="s">
        <v>458</v>
      </c>
    </row>
    <row r="247">
      <c r="A247" s="1" t="s">
        <v>459</v>
      </c>
    </row>
    <row r="248">
      <c r="A248" s="1" t="s">
        <v>460</v>
      </c>
    </row>
    <row r="249">
      <c r="A249" s="1" t="s">
        <v>461</v>
      </c>
    </row>
    <row r="250">
      <c r="A250" s="1" t="s">
        <v>462</v>
      </c>
    </row>
    <row r="251">
      <c r="A251" s="1" t="s">
        <v>463</v>
      </c>
    </row>
    <row r="252">
      <c r="A252" s="1" t="s">
        <v>464</v>
      </c>
    </row>
    <row r="253">
      <c r="A253" s="1" t="s">
        <v>465</v>
      </c>
    </row>
    <row r="254">
      <c r="A254" s="1" t="s">
        <v>466</v>
      </c>
    </row>
    <row r="255">
      <c r="A255" s="1" t="s">
        <v>467</v>
      </c>
    </row>
    <row r="256">
      <c r="A256" s="1" t="s">
        <v>468</v>
      </c>
    </row>
    <row r="257">
      <c r="A257" s="1" t="s">
        <v>469</v>
      </c>
    </row>
    <row r="258">
      <c r="A258" s="1" t="s">
        <v>470</v>
      </c>
    </row>
    <row r="259">
      <c r="A259" s="1" t="s">
        <v>471</v>
      </c>
    </row>
    <row r="260">
      <c r="A260" s="1" t="s">
        <v>472</v>
      </c>
    </row>
    <row r="261">
      <c r="A261" s="1" t="s">
        <v>473</v>
      </c>
    </row>
    <row r="262">
      <c r="A262" s="1" t="s">
        <v>474</v>
      </c>
    </row>
    <row r="263">
      <c r="A263" s="1" t="s">
        <v>475</v>
      </c>
    </row>
    <row r="264">
      <c r="A264" s="1" t="s">
        <v>476</v>
      </c>
    </row>
    <row r="265">
      <c r="A265" s="1" t="s">
        <v>477</v>
      </c>
    </row>
    <row r="266">
      <c r="A266" s="1" t="s">
        <v>478</v>
      </c>
    </row>
    <row r="267">
      <c r="A267" s="1" t="s">
        <v>479</v>
      </c>
    </row>
    <row r="268">
      <c r="A268" s="1" t="s">
        <v>480</v>
      </c>
    </row>
    <row r="269">
      <c r="A269" s="1" t="s">
        <v>481</v>
      </c>
    </row>
    <row r="270">
      <c r="A270" s="1" t="s">
        <v>482</v>
      </c>
    </row>
    <row r="271">
      <c r="A271" s="1" t="s">
        <v>483</v>
      </c>
    </row>
    <row r="272">
      <c r="A272" s="1" t="s">
        <v>484</v>
      </c>
    </row>
    <row r="273">
      <c r="A273" s="1" t="s">
        <v>485</v>
      </c>
    </row>
    <row r="274">
      <c r="A274" s="1" t="s">
        <v>486</v>
      </c>
    </row>
    <row r="275">
      <c r="A275" s="1" t="s">
        <v>487</v>
      </c>
    </row>
    <row r="276">
      <c r="A276" s="1" t="s">
        <v>488</v>
      </c>
    </row>
    <row r="277">
      <c r="A277" s="1" t="s">
        <v>489</v>
      </c>
    </row>
    <row r="278">
      <c r="A278" s="1" t="s">
        <v>490</v>
      </c>
    </row>
    <row r="279">
      <c r="A279" s="1" t="s">
        <v>491</v>
      </c>
    </row>
    <row r="280">
      <c r="A280" s="1" t="s">
        <v>492</v>
      </c>
    </row>
    <row r="281">
      <c r="A281" s="1" t="s">
        <v>493</v>
      </c>
    </row>
    <row r="282">
      <c r="A282" s="1" t="s">
        <v>494</v>
      </c>
    </row>
    <row r="283">
      <c r="A283" s="1" t="s">
        <v>495</v>
      </c>
    </row>
    <row r="284">
      <c r="A284" s="1" t="s">
        <v>496</v>
      </c>
    </row>
    <row r="285">
      <c r="A285" s="1" t="s">
        <v>497</v>
      </c>
    </row>
    <row r="286">
      <c r="A286" s="1" t="s">
        <v>498</v>
      </c>
    </row>
    <row r="287">
      <c r="A287" s="1" t="s">
        <v>499</v>
      </c>
    </row>
    <row r="288">
      <c r="A288" s="1" t="s">
        <v>500</v>
      </c>
    </row>
    <row r="289">
      <c r="A289" s="1" t="s">
        <v>501</v>
      </c>
    </row>
    <row r="290">
      <c r="A290" s="1" t="s">
        <v>502</v>
      </c>
    </row>
    <row r="291">
      <c r="A291" s="1" t="s">
        <v>503</v>
      </c>
    </row>
    <row r="292">
      <c r="A292" s="1" t="s">
        <v>504</v>
      </c>
    </row>
    <row r="293">
      <c r="A293" s="1" t="s">
        <v>505</v>
      </c>
    </row>
    <row r="294">
      <c r="A294" s="1" t="s">
        <v>506</v>
      </c>
    </row>
    <row r="295">
      <c r="A295" s="1" t="s">
        <v>507</v>
      </c>
    </row>
    <row r="296">
      <c r="A296" s="1" t="s">
        <v>508</v>
      </c>
    </row>
    <row r="297">
      <c r="A297" s="1" t="s">
        <v>509</v>
      </c>
    </row>
    <row r="298">
      <c r="A298" s="1" t="s">
        <v>510</v>
      </c>
    </row>
    <row r="299">
      <c r="A299" s="1" t="s">
        <v>511</v>
      </c>
    </row>
    <row r="300">
      <c r="A300" s="1" t="s">
        <v>512</v>
      </c>
    </row>
    <row r="301">
      <c r="A301" s="1" t="s">
        <v>513</v>
      </c>
    </row>
    <row r="302">
      <c r="A302" s="1" t="s">
        <v>514</v>
      </c>
    </row>
    <row r="303">
      <c r="A303" s="1" t="s">
        <v>515</v>
      </c>
    </row>
    <row r="304">
      <c r="A304" s="1" t="s">
        <v>516</v>
      </c>
    </row>
    <row r="305">
      <c r="A305" s="1" t="s">
        <v>517</v>
      </c>
    </row>
    <row r="306">
      <c r="A306" s="1" t="s">
        <v>518</v>
      </c>
    </row>
    <row r="307">
      <c r="A307" s="1" t="s">
        <v>519</v>
      </c>
    </row>
    <row r="308">
      <c r="A308" s="1" t="s">
        <v>520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521</v>
      </c>
    </row>
    <row r="2">
      <c r="A2" s="1" t="s">
        <v>522</v>
      </c>
    </row>
    <row r="3">
      <c r="A3" s="1" t="s">
        <v>523</v>
      </c>
    </row>
    <row r="4">
      <c r="A4" s="1" t="s">
        <v>524</v>
      </c>
    </row>
    <row r="5">
      <c r="A5" s="1" t="s">
        <v>525</v>
      </c>
    </row>
    <row r="6">
      <c r="A6" s="1" t="s">
        <v>526</v>
      </c>
    </row>
    <row r="7">
      <c r="A7" s="1" t="s">
        <v>527</v>
      </c>
    </row>
    <row r="8">
      <c r="A8" s="1" t="s">
        <v>528</v>
      </c>
    </row>
    <row r="9">
      <c r="A9" s="1" t="s">
        <v>529</v>
      </c>
    </row>
    <row r="10">
      <c r="A10" s="1" t="s">
        <v>530</v>
      </c>
    </row>
    <row r="11">
      <c r="A11" s="1" t="s">
        <v>531</v>
      </c>
    </row>
    <row r="12">
      <c r="A12" s="1" t="s">
        <v>532</v>
      </c>
    </row>
    <row r="13">
      <c r="A13" s="1" t="s">
        <v>533</v>
      </c>
    </row>
    <row r="14">
      <c r="A14" s="1" t="s">
        <v>534</v>
      </c>
    </row>
    <row r="15">
      <c r="A15" s="1" t="s">
        <v>535</v>
      </c>
    </row>
    <row r="16">
      <c r="A16" s="1" t="s">
        <v>536</v>
      </c>
    </row>
    <row r="17">
      <c r="A17" s="1" t="s">
        <v>537</v>
      </c>
    </row>
    <row r="18">
      <c r="A18" s="1" t="s">
        <v>538</v>
      </c>
    </row>
    <row r="19">
      <c r="A19" s="1" t="s">
        <v>539</v>
      </c>
    </row>
    <row r="20">
      <c r="A20" s="1" t="s">
        <v>540</v>
      </c>
    </row>
    <row r="21">
      <c r="A21" s="1" t="s">
        <v>541</v>
      </c>
    </row>
    <row r="22">
      <c r="A22" s="1" t="s">
        <v>542</v>
      </c>
    </row>
    <row r="23">
      <c r="A23" s="1" t="s">
        <v>543</v>
      </c>
    </row>
    <row r="24">
      <c r="A24" s="1" t="s">
        <v>544</v>
      </c>
    </row>
    <row r="25">
      <c r="A25" s="1" t="s">
        <v>545</v>
      </c>
    </row>
    <row r="26">
      <c r="A26" s="1" t="s">
        <v>546</v>
      </c>
    </row>
    <row r="27">
      <c r="A27" s="1" t="s">
        <v>547</v>
      </c>
    </row>
    <row r="28">
      <c r="A28" s="1" t="s">
        <v>548</v>
      </c>
    </row>
    <row r="29">
      <c r="A29" s="1" t="s">
        <v>549</v>
      </c>
    </row>
    <row r="30">
      <c r="A30" s="1" t="s">
        <v>550</v>
      </c>
    </row>
    <row r="31">
      <c r="A31" s="1" t="s">
        <v>551</v>
      </c>
    </row>
    <row r="32">
      <c r="A32" s="1" t="s">
        <v>552</v>
      </c>
    </row>
    <row r="33">
      <c r="A33" s="1" t="s">
        <v>553</v>
      </c>
    </row>
    <row r="34">
      <c r="A34" s="1" t="s">
        <v>554</v>
      </c>
    </row>
    <row r="35">
      <c r="A35" s="1" t="s">
        <v>555</v>
      </c>
    </row>
    <row r="36">
      <c r="A36" s="1" t="s">
        <v>556</v>
      </c>
    </row>
    <row r="37">
      <c r="A37" s="1" t="s">
        <v>557</v>
      </c>
    </row>
    <row r="38">
      <c r="A38" s="1" t="s">
        <v>558</v>
      </c>
    </row>
    <row r="39">
      <c r="A39" s="1" t="s">
        <v>559</v>
      </c>
    </row>
    <row r="40">
      <c r="A40" s="1" t="s">
        <v>560</v>
      </c>
    </row>
    <row r="41">
      <c r="A41" s="1" t="s">
        <v>561</v>
      </c>
    </row>
    <row r="42">
      <c r="A42" s="1" t="s">
        <v>562</v>
      </c>
    </row>
    <row r="43">
      <c r="A43" s="1" t="s">
        <v>563</v>
      </c>
    </row>
    <row r="44">
      <c r="A44" s="1" t="s">
        <v>564</v>
      </c>
    </row>
    <row r="45">
      <c r="A45" s="1" t="s">
        <v>565</v>
      </c>
    </row>
    <row r="46">
      <c r="A46" s="1" t="s">
        <v>566</v>
      </c>
    </row>
    <row r="47">
      <c r="A47" s="1" t="s">
        <v>567</v>
      </c>
    </row>
    <row r="48">
      <c r="A48" s="1" t="s">
        <v>568</v>
      </c>
    </row>
    <row r="49">
      <c r="A49" s="1" t="s">
        <v>569</v>
      </c>
    </row>
    <row r="50">
      <c r="A50" s="1" t="s">
        <v>570</v>
      </c>
    </row>
    <row r="51">
      <c r="A51" s="1" t="s">
        <v>571</v>
      </c>
    </row>
    <row r="52">
      <c r="A52" s="1" t="s">
        <v>572</v>
      </c>
    </row>
    <row r="53">
      <c r="A53" s="1" t="s">
        <v>573</v>
      </c>
    </row>
    <row r="54">
      <c r="A54" s="1" t="s">
        <v>574</v>
      </c>
    </row>
    <row r="55">
      <c r="A55" s="1" t="s">
        <v>575</v>
      </c>
    </row>
    <row r="56">
      <c r="A56" s="1" t="s">
        <v>576</v>
      </c>
    </row>
    <row r="57">
      <c r="A57" s="1" t="s">
        <v>577</v>
      </c>
    </row>
    <row r="58">
      <c r="A58" s="1" t="s">
        <v>578</v>
      </c>
    </row>
    <row r="59">
      <c r="A59" s="1" t="s">
        <v>579</v>
      </c>
    </row>
    <row r="60">
      <c r="A60" s="1" t="s">
        <v>580</v>
      </c>
    </row>
    <row r="61">
      <c r="A61" s="1" t="s">
        <v>581</v>
      </c>
    </row>
    <row r="62">
      <c r="A62" s="1" t="s">
        <v>582</v>
      </c>
    </row>
    <row r="63">
      <c r="A63" s="1" t="s">
        <v>583</v>
      </c>
    </row>
    <row r="64">
      <c r="A64" s="1" t="s">
        <v>584</v>
      </c>
    </row>
    <row r="65">
      <c r="A65" s="1" t="s">
        <v>585</v>
      </c>
    </row>
    <row r="66">
      <c r="A66" s="1" t="s">
        <v>586</v>
      </c>
    </row>
    <row r="67">
      <c r="A67" s="1" t="s">
        <v>587</v>
      </c>
    </row>
    <row r="68">
      <c r="A68" s="1" t="s">
        <v>588</v>
      </c>
    </row>
    <row r="69">
      <c r="A69" s="1" t="s">
        <v>589</v>
      </c>
    </row>
    <row r="70">
      <c r="A70" s="1" t="s">
        <v>590</v>
      </c>
    </row>
    <row r="71">
      <c r="A71" s="1" t="s">
        <v>591</v>
      </c>
    </row>
    <row r="72">
      <c r="A72" s="1" t="s">
        <v>592</v>
      </c>
    </row>
    <row r="73">
      <c r="A73" s="1" t="s">
        <v>593</v>
      </c>
    </row>
    <row r="74">
      <c r="A74" s="1" t="s">
        <v>594</v>
      </c>
    </row>
    <row r="75">
      <c r="A75" s="1" t="s">
        <v>595</v>
      </c>
    </row>
    <row r="76">
      <c r="A76" s="1" t="s">
        <v>596</v>
      </c>
    </row>
    <row r="77">
      <c r="A77" s="1" t="s">
        <v>597</v>
      </c>
    </row>
    <row r="78">
      <c r="A78" s="1" t="s">
        <v>598</v>
      </c>
    </row>
    <row r="79">
      <c r="A79" s="1" t="s">
        <v>599</v>
      </c>
    </row>
    <row r="80">
      <c r="A80" s="1" t="s">
        <v>600</v>
      </c>
    </row>
    <row r="81">
      <c r="A81" s="1" t="s">
        <v>601</v>
      </c>
    </row>
    <row r="82">
      <c r="A82" s="1" t="s">
        <v>602</v>
      </c>
    </row>
    <row r="83">
      <c r="A83" s="1" t="s">
        <v>603</v>
      </c>
    </row>
    <row r="84">
      <c r="A84" s="1" t="s">
        <v>604</v>
      </c>
    </row>
    <row r="85">
      <c r="A85" s="1" t="s">
        <v>605</v>
      </c>
    </row>
    <row r="86">
      <c r="A86" s="1" t="s">
        <v>606</v>
      </c>
    </row>
    <row r="87">
      <c r="A87" s="1" t="s">
        <v>607</v>
      </c>
    </row>
    <row r="88">
      <c r="A88" s="1" t="s">
        <v>608</v>
      </c>
    </row>
    <row r="89">
      <c r="A89" s="1" t="s">
        <v>609</v>
      </c>
    </row>
    <row r="90">
      <c r="A90" s="1" t="s">
        <v>610</v>
      </c>
    </row>
    <row r="91">
      <c r="A91" s="1" t="s">
        <v>611</v>
      </c>
    </row>
    <row r="92">
      <c r="A92" s="1" t="s">
        <v>612</v>
      </c>
    </row>
    <row r="93">
      <c r="A93" s="1" t="s">
        <v>613</v>
      </c>
    </row>
    <row r="94">
      <c r="A94" s="1" t="s">
        <v>614</v>
      </c>
    </row>
    <row r="95">
      <c r="A95" s="1" t="s">
        <v>615</v>
      </c>
    </row>
    <row r="96">
      <c r="A96" s="1" t="s">
        <v>616</v>
      </c>
    </row>
    <row r="97">
      <c r="A97" s="1" t="s">
        <v>617</v>
      </c>
    </row>
    <row r="98">
      <c r="A98" s="1" t="s">
        <v>618</v>
      </c>
    </row>
    <row r="99">
      <c r="A99" s="1" t="s">
        <v>619</v>
      </c>
    </row>
    <row r="100">
      <c r="A100" s="1" t="s">
        <v>620</v>
      </c>
    </row>
    <row r="101">
      <c r="A101" s="1" t="s">
        <v>621</v>
      </c>
    </row>
    <row r="102">
      <c r="A102" s="1" t="s">
        <v>622</v>
      </c>
    </row>
    <row r="103">
      <c r="A103" s="1" t="s">
        <v>623</v>
      </c>
    </row>
    <row r="104">
      <c r="A104" s="1" t="s">
        <v>624</v>
      </c>
    </row>
    <row r="105">
      <c r="A105" s="1" t="s">
        <v>625</v>
      </c>
    </row>
    <row r="106">
      <c r="A106" s="1" t="s">
        <v>626</v>
      </c>
    </row>
    <row r="107">
      <c r="A107" s="1" t="s">
        <v>627</v>
      </c>
    </row>
    <row r="108">
      <c r="A108" s="1" t="s">
        <v>628</v>
      </c>
    </row>
    <row r="109">
      <c r="A109" s="1" t="s">
        <v>629</v>
      </c>
    </row>
    <row r="110">
      <c r="A110" s="1" t="s">
        <v>630</v>
      </c>
    </row>
    <row r="111">
      <c r="A111" s="1" t="s">
        <v>631</v>
      </c>
    </row>
    <row r="112">
      <c r="A112" s="1" t="s">
        <v>632</v>
      </c>
    </row>
    <row r="113">
      <c r="A113" s="1" t="s">
        <v>633</v>
      </c>
    </row>
    <row r="114">
      <c r="A114" s="1" t="s">
        <v>634</v>
      </c>
    </row>
    <row r="115">
      <c r="A115" s="1" t="s">
        <v>635</v>
      </c>
    </row>
    <row r="116">
      <c r="A116" s="1" t="s">
        <v>636</v>
      </c>
    </row>
    <row r="117">
      <c r="A117" s="1" t="s">
        <v>637</v>
      </c>
    </row>
    <row r="118">
      <c r="A118" s="1" t="s">
        <v>638</v>
      </c>
    </row>
    <row r="119">
      <c r="A119" s="1" t="s">
        <v>639</v>
      </c>
    </row>
    <row r="120">
      <c r="A120" s="1" t="s">
        <v>640</v>
      </c>
    </row>
    <row r="121">
      <c r="A121" s="1" t="s">
        <v>641</v>
      </c>
    </row>
    <row r="122">
      <c r="A122" s="1" t="s">
        <v>642</v>
      </c>
    </row>
    <row r="123">
      <c r="A123" s="1" t="s">
        <v>643</v>
      </c>
    </row>
    <row r="124">
      <c r="A124" s="1" t="s">
        <v>644</v>
      </c>
    </row>
    <row r="125">
      <c r="A125" s="1" t="s">
        <v>645</v>
      </c>
    </row>
    <row r="126">
      <c r="A126" s="1" t="s">
        <v>646</v>
      </c>
    </row>
    <row r="127">
      <c r="A127" s="1" t="s">
        <v>647</v>
      </c>
    </row>
    <row r="128">
      <c r="A128" s="1" t="s">
        <v>648</v>
      </c>
    </row>
    <row r="129">
      <c r="A129" s="1" t="s">
        <v>649</v>
      </c>
    </row>
    <row r="130">
      <c r="A130" s="1" t="s">
        <v>650</v>
      </c>
    </row>
    <row r="131">
      <c r="A131" s="1" t="s">
        <v>651</v>
      </c>
    </row>
    <row r="132">
      <c r="A132" s="1" t="s">
        <v>652</v>
      </c>
    </row>
    <row r="133">
      <c r="A133" s="1" t="s">
        <v>653</v>
      </c>
    </row>
    <row r="134">
      <c r="A134" s="1" t="s">
        <v>654</v>
      </c>
    </row>
    <row r="135">
      <c r="A135" s="1" t="s">
        <v>655</v>
      </c>
    </row>
    <row r="136">
      <c r="A136" s="1" t="s">
        <v>656</v>
      </c>
    </row>
    <row r="137">
      <c r="A137" s="1" t="s">
        <v>657</v>
      </c>
    </row>
    <row r="138">
      <c r="A138" s="1" t="s">
        <v>658</v>
      </c>
    </row>
    <row r="139">
      <c r="A139" s="1" t="s">
        <v>659</v>
      </c>
    </row>
    <row r="140">
      <c r="A140" s="1" t="s">
        <v>660</v>
      </c>
    </row>
    <row r="141">
      <c r="A141" s="1" t="s">
        <v>661</v>
      </c>
    </row>
    <row r="142">
      <c r="A142" s="1" t="s">
        <v>662</v>
      </c>
    </row>
    <row r="143">
      <c r="A143" s="1" t="s">
        <v>663</v>
      </c>
    </row>
    <row r="144">
      <c r="A144" s="1" t="s">
        <v>664</v>
      </c>
    </row>
    <row r="145">
      <c r="A145" s="1" t="s">
        <v>665</v>
      </c>
    </row>
    <row r="146">
      <c r="A146" s="1" t="s">
        <v>666</v>
      </c>
    </row>
    <row r="147">
      <c r="A147" s="1" t="s">
        <v>667</v>
      </c>
    </row>
    <row r="148">
      <c r="A148" s="1" t="s">
        <v>668</v>
      </c>
    </row>
    <row r="149">
      <c r="A149" s="1" t="s">
        <v>669</v>
      </c>
    </row>
    <row r="150">
      <c r="A150" s="1" t="s">
        <v>670</v>
      </c>
    </row>
    <row r="151">
      <c r="A151" s="1" t="s">
        <v>671</v>
      </c>
    </row>
    <row r="152">
      <c r="A152" s="1" t="s">
        <v>672</v>
      </c>
    </row>
    <row r="153">
      <c r="A153" s="1" t="s">
        <v>673</v>
      </c>
    </row>
    <row r="154">
      <c r="A154" s="1" t="s">
        <v>674</v>
      </c>
    </row>
    <row r="155">
      <c r="A155" s="1" t="s">
        <v>675</v>
      </c>
    </row>
    <row r="156">
      <c r="A156" s="1" t="s">
        <v>676</v>
      </c>
    </row>
    <row r="157">
      <c r="A157" s="1" t="s">
        <v>677</v>
      </c>
    </row>
    <row r="158">
      <c r="A158" s="1" t="s">
        <v>678</v>
      </c>
    </row>
    <row r="159">
      <c r="A159" s="1" t="s">
        <v>679</v>
      </c>
    </row>
    <row r="160">
      <c r="A160" s="1" t="s">
        <v>680</v>
      </c>
    </row>
    <row r="161">
      <c r="A161" s="1" t="s">
        <v>681</v>
      </c>
    </row>
    <row r="162">
      <c r="A162" s="1" t="s">
        <v>682</v>
      </c>
    </row>
    <row r="163">
      <c r="A163" s="1" t="s">
        <v>683</v>
      </c>
    </row>
    <row r="164">
      <c r="A164" s="1" t="s">
        <v>684</v>
      </c>
    </row>
    <row r="165">
      <c r="A165" s="1" t="s">
        <v>685</v>
      </c>
    </row>
    <row r="166">
      <c r="A166" s="1" t="s">
        <v>686</v>
      </c>
    </row>
    <row r="167">
      <c r="A167" s="1" t="s">
        <v>687</v>
      </c>
    </row>
    <row r="168">
      <c r="A168" s="1" t="s">
        <v>688</v>
      </c>
    </row>
    <row r="169">
      <c r="A169" s="1" t="s">
        <v>689</v>
      </c>
    </row>
    <row r="170">
      <c r="A170" s="1" t="s">
        <v>690</v>
      </c>
    </row>
    <row r="171">
      <c r="A171" s="1" t="s">
        <v>691</v>
      </c>
    </row>
    <row r="172">
      <c r="A172" s="1" t="s">
        <v>692</v>
      </c>
    </row>
    <row r="173">
      <c r="A173" s="1" t="s">
        <v>693</v>
      </c>
    </row>
    <row r="174">
      <c r="A174" s="1" t="s">
        <v>694</v>
      </c>
    </row>
    <row r="175">
      <c r="A175" s="1" t="s">
        <v>695</v>
      </c>
    </row>
    <row r="176">
      <c r="A176" s="1" t="s">
        <v>696</v>
      </c>
    </row>
    <row r="177">
      <c r="A177" s="1" t="s">
        <v>697</v>
      </c>
    </row>
    <row r="178">
      <c r="A178" s="1" t="s">
        <v>698</v>
      </c>
    </row>
    <row r="179">
      <c r="A179" s="1" t="s">
        <v>699</v>
      </c>
    </row>
    <row r="180">
      <c r="A180" s="1" t="s">
        <v>700</v>
      </c>
    </row>
    <row r="181">
      <c r="A181" s="1" t="s">
        <v>701</v>
      </c>
    </row>
    <row r="182">
      <c r="A182" s="1" t="s">
        <v>702</v>
      </c>
    </row>
    <row r="183">
      <c r="A183" s="1" t="s">
        <v>703</v>
      </c>
    </row>
    <row r="184">
      <c r="A184" s="1" t="s">
        <v>704</v>
      </c>
    </row>
    <row r="185">
      <c r="A185" s="1" t="s">
        <v>705</v>
      </c>
    </row>
    <row r="186">
      <c r="A186" s="1" t="s">
        <v>706</v>
      </c>
    </row>
    <row r="187">
      <c r="A187" s="1" t="s">
        <v>707</v>
      </c>
    </row>
    <row r="188">
      <c r="A188" s="1" t="s">
        <v>708</v>
      </c>
    </row>
    <row r="189">
      <c r="A189" s="1" t="s">
        <v>709</v>
      </c>
    </row>
    <row r="190">
      <c r="A190" s="1" t="s">
        <v>710</v>
      </c>
    </row>
    <row r="191">
      <c r="A191" s="1" t="s">
        <v>711</v>
      </c>
    </row>
    <row r="192">
      <c r="A192" s="1" t="s">
        <v>712</v>
      </c>
    </row>
    <row r="193">
      <c r="A193" s="1" t="s">
        <v>713</v>
      </c>
    </row>
    <row r="194">
      <c r="A194" s="1" t="s">
        <v>714</v>
      </c>
    </row>
    <row r="195">
      <c r="A195" s="1" t="s">
        <v>715</v>
      </c>
    </row>
    <row r="196">
      <c r="A196" s="1" t="s">
        <v>716</v>
      </c>
    </row>
    <row r="197">
      <c r="A197" s="1" t="s">
        <v>717</v>
      </c>
    </row>
    <row r="198">
      <c r="A198" s="1" t="s">
        <v>718</v>
      </c>
    </row>
    <row r="199">
      <c r="A199" s="1" t="s">
        <v>719</v>
      </c>
    </row>
    <row r="200">
      <c r="A200" s="1" t="s">
        <v>720</v>
      </c>
    </row>
    <row r="201">
      <c r="A201" s="1" t="s">
        <v>721</v>
      </c>
    </row>
    <row r="202">
      <c r="A202" s="1" t="s">
        <v>722</v>
      </c>
    </row>
    <row r="203">
      <c r="A203" s="1" t="s">
        <v>723</v>
      </c>
    </row>
    <row r="204">
      <c r="A204" s="1" t="s">
        <v>724</v>
      </c>
    </row>
    <row r="205">
      <c r="A205" s="1" t="s">
        <v>725</v>
      </c>
    </row>
    <row r="206">
      <c r="A206" s="1" t="s">
        <v>726</v>
      </c>
    </row>
    <row r="207">
      <c r="A207" s="1" t="s">
        <v>727</v>
      </c>
    </row>
    <row r="208">
      <c r="A208" s="1" t="s">
        <v>728</v>
      </c>
    </row>
    <row r="209">
      <c r="A209" s="1" t="s">
        <v>729</v>
      </c>
    </row>
    <row r="210">
      <c r="A210" s="1" t="s">
        <v>730</v>
      </c>
    </row>
    <row r="211">
      <c r="A211" s="1" t="s">
        <v>731</v>
      </c>
    </row>
    <row r="212">
      <c r="A212" s="1" t="s">
        <v>732</v>
      </c>
    </row>
    <row r="213">
      <c r="A213" s="1" t="s">
        <v>733</v>
      </c>
    </row>
    <row r="214">
      <c r="A214" s="1" t="s">
        <v>734</v>
      </c>
    </row>
    <row r="215">
      <c r="A215" s="1" t="s">
        <v>735</v>
      </c>
    </row>
    <row r="216">
      <c r="A216" s="1" t="s">
        <v>736</v>
      </c>
    </row>
    <row r="217">
      <c r="A217" s="1" t="s">
        <v>737</v>
      </c>
    </row>
    <row r="218">
      <c r="A218" s="1" t="s">
        <v>738</v>
      </c>
    </row>
    <row r="219">
      <c r="A219" s="1" t="s">
        <v>739</v>
      </c>
    </row>
    <row r="220">
      <c r="A220" s="1" t="s">
        <v>740</v>
      </c>
    </row>
    <row r="221">
      <c r="A221" s="1" t="s">
        <v>741</v>
      </c>
    </row>
    <row r="222">
      <c r="A222" s="1" t="s">
        <v>742</v>
      </c>
    </row>
    <row r="223">
      <c r="A223" s="1" t="s">
        <v>743</v>
      </c>
    </row>
    <row r="224">
      <c r="A224" s="1" t="s">
        <v>744</v>
      </c>
    </row>
    <row r="225">
      <c r="A225" s="1" t="s">
        <v>745</v>
      </c>
    </row>
    <row r="226">
      <c r="A226" s="1" t="s">
        <v>746</v>
      </c>
    </row>
    <row r="227">
      <c r="A227" s="1" t="s">
        <v>747</v>
      </c>
    </row>
    <row r="228">
      <c r="A228" s="1" t="s">
        <v>748</v>
      </c>
    </row>
    <row r="229">
      <c r="A229" s="1" t="s">
        <v>749</v>
      </c>
    </row>
    <row r="230">
      <c r="A230" s="1" t="s">
        <v>750</v>
      </c>
    </row>
    <row r="231">
      <c r="A231" s="1" t="s">
        <v>751</v>
      </c>
    </row>
    <row r="232">
      <c r="A232" s="1" t="s">
        <v>752</v>
      </c>
    </row>
    <row r="233">
      <c r="A233" s="1" t="s">
        <v>753</v>
      </c>
    </row>
    <row r="234">
      <c r="A234" s="1" t="s">
        <v>754</v>
      </c>
    </row>
    <row r="235">
      <c r="A235" s="1" t="s">
        <v>755</v>
      </c>
    </row>
    <row r="236">
      <c r="A236" s="1" t="s">
        <v>756</v>
      </c>
    </row>
    <row r="237">
      <c r="A237" s="1" t="s">
        <v>757</v>
      </c>
    </row>
    <row r="238">
      <c r="A238" s="1" t="s">
        <v>758</v>
      </c>
    </row>
    <row r="239">
      <c r="A239" s="1" t="s">
        <v>759</v>
      </c>
    </row>
    <row r="240">
      <c r="A240" s="1" t="s">
        <v>760</v>
      </c>
    </row>
    <row r="241">
      <c r="A241" s="1" t="s">
        <v>761</v>
      </c>
    </row>
    <row r="242">
      <c r="A242" s="1" t="s">
        <v>762</v>
      </c>
    </row>
    <row r="243">
      <c r="A243" s="1" t="s">
        <v>763</v>
      </c>
    </row>
    <row r="244">
      <c r="A244" s="1" t="s">
        <v>764</v>
      </c>
    </row>
    <row r="245">
      <c r="A245" s="1" t="s">
        <v>765</v>
      </c>
    </row>
    <row r="246">
      <c r="A246" s="1" t="s">
        <v>766</v>
      </c>
    </row>
    <row r="247">
      <c r="A247" s="1" t="s">
        <v>767</v>
      </c>
    </row>
    <row r="248">
      <c r="A248" s="1" t="s">
        <v>768</v>
      </c>
    </row>
    <row r="249">
      <c r="A249" s="1" t="s">
        <v>769</v>
      </c>
    </row>
    <row r="250">
      <c r="A250" s="1" t="s">
        <v>770</v>
      </c>
    </row>
    <row r="251">
      <c r="A251" s="1" t="s">
        <v>771</v>
      </c>
    </row>
    <row r="252">
      <c r="A252" s="1" t="s">
        <v>772</v>
      </c>
    </row>
    <row r="253">
      <c r="A253" s="1" t="s">
        <v>773</v>
      </c>
    </row>
    <row r="254">
      <c r="A254" s="1" t="s">
        <v>774</v>
      </c>
    </row>
    <row r="255">
      <c r="A255" s="1" t="s">
        <v>775</v>
      </c>
    </row>
    <row r="256">
      <c r="A256" s="1" t="s">
        <v>776</v>
      </c>
    </row>
    <row r="257">
      <c r="A257" s="1" t="s">
        <v>777</v>
      </c>
    </row>
    <row r="258">
      <c r="A258" s="1" t="s">
        <v>778</v>
      </c>
    </row>
    <row r="259">
      <c r="A259" s="1" t="s">
        <v>779</v>
      </c>
    </row>
    <row r="260">
      <c r="A260" s="1" t="s">
        <v>780</v>
      </c>
    </row>
    <row r="261">
      <c r="A261" s="1" t="s">
        <v>781</v>
      </c>
    </row>
    <row r="262">
      <c r="A262" s="1" t="s">
        <v>782</v>
      </c>
    </row>
    <row r="263">
      <c r="A263" s="1" t="s">
        <v>783</v>
      </c>
    </row>
    <row r="264">
      <c r="A264" s="1" t="s">
        <v>784</v>
      </c>
    </row>
    <row r="265">
      <c r="A265" s="1" t="s">
        <v>785</v>
      </c>
    </row>
    <row r="266">
      <c r="A266" s="1" t="s">
        <v>786</v>
      </c>
    </row>
    <row r="267">
      <c r="A267" s="1" t="s">
        <v>787</v>
      </c>
    </row>
    <row r="268">
      <c r="A268" s="1" t="s">
        <v>788</v>
      </c>
    </row>
    <row r="269">
      <c r="A269" s="1" t="s">
        <v>789</v>
      </c>
    </row>
    <row r="270">
      <c r="A270" s="1" t="s">
        <v>790</v>
      </c>
    </row>
    <row r="271">
      <c r="A271" s="1" t="s">
        <v>791</v>
      </c>
    </row>
    <row r="272">
      <c r="A272" s="1" t="s">
        <v>792</v>
      </c>
    </row>
    <row r="273">
      <c r="A273" s="1" t="s">
        <v>793</v>
      </c>
    </row>
    <row r="274">
      <c r="A274" s="1" t="s">
        <v>794</v>
      </c>
    </row>
    <row r="275">
      <c r="A275" s="1" t="s">
        <v>795</v>
      </c>
    </row>
    <row r="276">
      <c r="A276" s="1" t="s">
        <v>796</v>
      </c>
    </row>
    <row r="277">
      <c r="A277" s="1" t="s">
        <v>797</v>
      </c>
    </row>
    <row r="278">
      <c r="A278" s="1" t="s">
        <v>798</v>
      </c>
    </row>
    <row r="279">
      <c r="A279" s="1" t="s">
        <v>799</v>
      </c>
    </row>
    <row r="280">
      <c r="A280" s="1" t="s">
        <v>800</v>
      </c>
    </row>
    <row r="281">
      <c r="A281" s="1" t="s">
        <v>801</v>
      </c>
    </row>
    <row r="282">
      <c r="A282" s="1" t="s">
        <v>802</v>
      </c>
    </row>
    <row r="283">
      <c r="A283" s="1" t="s">
        <v>803</v>
      </c>
    </row>
    <row r="284">
      <c r="A284" s="1" t="s">
        <v>804</v>
      </c>
    </row>
    <row r="285">
      <c r="A285" s="1" t="s">
        <v>805</v>
      </c>
    </row>
    <row r="286">
      <c r="A286" s="1" t="s">
        <v>806</v>
      </c>
    </row>
    <row r="287">
      <c r="A287" s="1" t="s">
        <v>807</v>
      </c>
    </row>
    <row r="288">
      <c r="A288" s="1" t="s">
        <v>808</v>
      </c>
    </row>
    <row r="289">
      <c r="A289" s="1" t="s">
        <v>809</v>
      </c>
    </row>
    <row r="290">
      <c r="A290" s="1" t="s">
        <v>810</v>
      </c>
    </row>
    <row r="291">
      <c r="A291" s="1" t="s">
        <v>811</v>
      </c>
    </row>
    <row r="292">
      <c r="A292" s="1" t="s">
        <v>812</v>
      </c>
    </row>
    <row r="293">
      <c r="A293" s="1" t="s">
        <v>813</v>
      </c>
    </row>
    <row r="294">
      <c r="A294" s="1" t="s">
        <v>814</v>
      </c>
    </row>
    <row r="295">
      <c r="A295" s="1" t="s">
        <v>815</v>
      </c>
    </row>
    <row r="296">
      <c r="A296" s="1" t="s">
        <v>816</v>
      </c>
    </row>
    <row r="297">
      <c r="A297" s="1" t="s">
        <v>817</v>
      </c>
    </row>
    <row r="298">
      <c r="A298" s="1" t="s">
        <v>818</v>
      </c>
    </row>
    <row r="299">
      <c r="A299" s="1" t="s">
        <v>819</v>
      </c>
    </row>
    <row r="300">
      <c r="A300" s="1" t="s">
        <v>820</v>
      </c>
    </row>
    <row r="301">
      <c r="A301" s="1" t="s">
        <v>821</v>
      </c>
    </row>
    <row r="302">
      <c r="A302" s="1" t="s">
        <v>822</v>
      </c>
    </row>
    <row r="303">
      <c r="A303" s="1" t="s">
        <v>823</v>
      </c>
    </row>
    <row r="304">
      <c r="A304" s="1" t="s">
        <v>824</v>
      </c>
    </row>
    <row r="305">
      <c r="A305" s="1" t="s">
        <v>825</v>
      </c>
    </row>
    <row r="306">
      <c r="A306" s="1" t="s">
        <v>826</v>
      </c>
    </row>
    <row r="307">
      <c r="A307" s="1" t="s">
        <v>827</v>
      </c>
    </row>
    <row r="308">
      <c r="A308" s="1" t="s">
        <v>828</v>
      </c>
    </row>
    <row r="309">
      <c r="A309" s="1" t="s">
        <v>829</v>
      </c>
    </row>
    <row r="310">
      <c r="A310" s="1" t="s">
        <v>830</v>
      </c>
    </row>
    <row r="311">
      <c r="A311" s="1" t="s">
        <v>831</v>
      </c>
    </row>
    <row r="312">
      <c r="A312" s="1" t="s">
        <v>832</v>
      </c>
    </row>
    <row r="313">
      <c r="A313" s="1" t="s">
        <v>833</v>
      </c>
    </row>
    <row r="314">
      <c r="A314" s="1" t="s">
        <v>834</v>
      </c>
    </row>
    <row r="315">
      <c r="A315" s="1" t="s">
        <v>835</v>
      </c>
    </row>
    <row r="316">
      <c r="A316" s="1" t="s">
        <v>836</v>
      </c>
    </row>
    <row r="317">
      <c r="A317" s="1" t="s">
        <v>837</v>
      </c>
    </row>
    <row r="318">
      <c r="A318" s="1" t="s">
        <v>838</v>
      </c>
    </row>
    <row r="319">
      <c r="A319" s="1" t="s">
        <v>839</v>
      </c>
    </row>
    <row r="320">
      <c r="A320" s="1" t="s">
        <v>840</v>
      </c>
    </row>
    <row r="321">
      <c r="A321" s="1" t="s">
        <v>841</v>
      </c>
    </row>
    <row r="322">
      <c r="A322" s="1" t="s">
        <v>842</v>
      </c>
    </row>
    <row r="323">
      <c r="A323" s="1" t="s">
        <v>843</v>
      </c>
    </row>
    <row r="324">
      <c r="A324" s="1" t="s">
        <v>844</v>
      </c>
    </row>
    <row r="325">
      <c r="A325" s="1" t="s">
        <v>845</v>
      </c>
    </row>
    <row r="326">
      <c r="A326" s="1" t="s">
        <v>846</v>
      </c>
    </row>
    <row r="327">
      <c r="A327" s="1" t="s">
        <v>847</v>
      </c>
    </row>
    <row r="328">
      <c r="A328" s="1" t="s">
        <v>848</v>
      </c>
    </row>
    <row r="329">
      <c r="A329" s="1" t="s">
        <v>849</v>
      </c>
    </row>
    <row r="330">
      <c r="A330" s="1" t="s">
        <v>850</v>
      </c>
    </row>
    <row r="331">
      <c r="A331" s="1" t="s">
        <v>851</v>
      </c>
    </row>
    <row r="332">
      <c r="A332" s="1" t="s">
        <v>852</v>
      </c>
    </row>
    <row r="333">
      <c r="A333" s="1" t="s">
        <v>853</v>
      </c>
    </row>
    <row r="334">
      <c r="A334" s="1" t="s">
        <v>854</v>
      </c>
    </row>
    <row r="335">
      <c r="A335" s="1" t="s">
        <v>855</v>
      </c>
    </row>
    <row r="336">
      <c r="A336" s="1" t="s">
        <v>856</v>
      </c>
    </row>
    <row r="337">
      <c r="A337" s="1" t="s">
        <v>857</v>
      </c>
    </row>
    <row r="338">
      <c r="A338" s="1" t="s">
        <v>858</v>
      </c>
    </row>
    <row r="339">
      <c r="A339" s="1" t="s">
        <v>859</v>
      </c>
    </row>
    <row r="340">
      <c r="A340" s="1" t="s">
        <v>860</v>
      </c>
    </row>
    <row r="341">
      <c r="A341" s="1" t="s">
        <v>861</v>
      </c>
    </row>
    <row r="342">
      <c r="A342" s="1" t="s">
        <v>862</v>
      </c>
    </row>
    <row r="343">
      <c r="A343" s="1" t="s">
        <v>863</v>
      </c>
    </row>
    <row r="344">
      <c r="A344" s="1" t="s">
        <v>864</v>
      </c>
    </row>
    <row r="345">
      <c r="A345" s="1" t="s">
        <v>865</v>
      </c>
    </row>
    <row r="346">
      <c r="A346" s="1" t="s">
        <v>866</v>
      </c>
    </row>
    <row r="347">
      <c r="A347" s="1" t="s">
        <v>867</v>
      </c>
    </row>
    <row r="348">
      <c r="A348" s="1" t="s">
        <v>868</v>
      </c>
    </row>
    <row r="349">
      <c r="A349" s="1" t="s">
        <v>869</v>
      </c>
    </row>
    <row r="350">
      <c r="A350" s="1" t="s">
        <v>870</v>
      </c>
    </row>
    <row r="351">
      <c r="A351" s="1" t="s">
        <v>871</v>
      </c>
    </row>
    <row r="352">
      <c r="A352" s="1" t="s">
        <v>872</v>
      </c>
    </row>
    <row r="353">
      <c r="A353" s="1" t="s">
        <v>873</v>
      </c>
    </row>
    <row r="354">
      <c r="A354" s="1" t="s">
        <v>874</v>
      </c>
    </row>
    <row r="355">
      <c r="A355" s="1" t="s">
        <v>875</v>
      </c>
    </row>
    <row r="356">
      <c r="A356" s="1" t="s">
        <v>876</v>
      </c>
    </row>
    <row r="357">
      <c r="A357" s="1" t="s">
        <v>877</v>
      </c>
    </row>
    <row r="358">
      <c r="A358" s="1" t="s">
        <v>878</v>
      </c>
    </row>
    <row r="359">
      <c r="A359" s="1" t="s">
        <v>879</v>
      </c>
    </row>
    <row r="360">
      <c r="A360" s="1" t="s">
        <v>880</v>
      </c>
    </row>
    <row r="361">
      <c r="A361" s="1" t="s">
        <v>881</v>
      </c>
    </row>
    <row r="362">
      <c r="A362" s="1" t="s">
        <v>882</v>
      </c>
    </row>
    <row r="363">
      <c r="A363" s="1" t="s">
        <v>883</v>
      </c>
    </row>
    <row r="364">
      <c r="A364" s="1" t="s">
        <v>884</v>
      </c>
    </row>
    <row r="365">
      <c r="A365" s="1" t="s">
        <v>885</v>
      </c>
    </row>
    <row r="366">
      <c r="A366" s="1" t="s">
        <v>886</v>
      </c>
    </row>
    <row r="367">
      <c r="A367" s="1" t="s">
        <v>887</v>
      </c>
    </row>
    <row r="368">
      <c r="A368" s="1" t="s">
        <v>888</v>
      </c>
    </row>
    <row r="369">
      <c r="A369" s="1" t="s">
        <v>889</v>
      </c>
    </row>
    <row r="370">
      <c r="A370" s="1" t="s">
        <v>890</v>
      </c>
    </row>
    <row r="371">
      <c r="A371" s="1" t="s">
        <v>891</v>
      </c>
    </row>
    <row r="372">
      <c r="A372" s="1" t="s">
        <v>892</v>
      </c>
    </row>
    <row r="373">
      <c r="A373" s="1" t="s">
        <v>893</v>
      </c>
    </row>
    <row r="374">
      <c r="A374" s="1" t="s">
        <v>894</v>
      </c>
    </row>
    <row r="375">
      <c r="A375" s="1" t="s">
        <v>895</v>
      </c>
    </row>
    <row r="376">
      <c r="A376" s="1" t="s">
        <v>896</v>
      </c>
    </row>
    <row r="377">
      <c r="A377" s="1" t="s">
        <v>897</v>
      </c>
    </row>
    <row r="378">
      <c r="A378" s="1" t="s">
        <v>898</v>
      </c>
    </row>
    <row r="379">
      <c r="A379" s="1" t="s">
        <v>899</v>
      </c>
    </row>
    <row r="380">
      <c r="A380" s="1" t="s">
        <v>900</v>
      </c>
    </row>
    <row r="381">
      <c r="A381" s="1" t="s">
        <v>901</v>
      </c>
    </row>
    <row r="382">
      <c r="A382" s="1" t="s">
        <v>902</v>
      </c>
    </row>
    <row r="383">
      <c r="A383" s="1" t="s">
        <v>903</v>
      </c>
    </row>
    <row r="384">
      <c r="A384" s="1" t="s">
        <v>904</v>
      </c>
    </row>
    <row r="385">
      <c r="A385" s="1" t="s">
        <v>905</v>
      </c>
    </row>
    <row r="386">
      <c r="A386" s="1" t="s">
        <v>906</v>
      </c>
    </row>
    <row r="387">
      <c r="A387" s="1" t="s">
        <v>907</v>
      </c>
    </row>
    <row r="388">
      <c r="A388" s="1" t="s">
        <v>908</v>
      </c>
    </row>
    <row r="389">
      <c r="A389" s="1" t="s">
        <v>909</v>
      </c>
    </row>
    <row r="390">
      <c r="A390" s="1" t="s">
        <v>910</v>
      </c>
    </row>
    <row r="391">
      <c r="A391" s="1" t="s">
        <v>911</v>
      </c>
    </row>
    <row r="392">
      <c r="A392" s="1" t="s">
        <v>912</v>
      </c>
    </row>
    <row r="393">
      <c r="A393" s="1" t="s">
        <v>913</v>
      </c>
    </row>
    <row r="394">
      <c r="A394" s="1" t="s">
        <v>914</v>
      </c>
    </row>
    <row r="395">
      <c r="A395" s="1" t="s">
        <v>915</v>
      </c>
    </row>
    <row r="396">
      <c r="A396" s="1" t="s">
        <v>916</v>
      </c>
    </row>
    <row r="397">
      <c r="A397" s="1" t="s">
        <v>917</v>
      </c>
    </row>
    <row r="398">
      <c r="A398" s="1" t="s">
        <v>918</v>
      </c>
    </row>
    <row r="399">
      <c r="A399" s="1" t="s">
        <v>919</v>
      </c>
    </row>
    <row r="400">
      <c r="A400" s="1" t="s">
        <v>920</v>
      </c>
    </row>
    <row r="401">
      <c r="A401" s="1" t="s">
        <v>921</v>
      </c>
    </row>
    <row r="402">
      <c r="A402" s="1" t="s">
        <v>922</v>
      </c>
    </row>
    <row r="403">
      <c r="A403" s="1" t="s">
        <v>923</v>
      </c>
    </row>
    <row r="404">
      <c r="A404" s="1" t="s">
        <v>924</v>
      </c>
    </row>
    <row r="405">
      <c r="A405" s="1" t="s">
        <v>925</v>
      </c>
    </row>
    <row r="406">
      <c r="A406" s="1" t="s">
        <v>926</v>
      </c>
    </row>
    <row r="407">
      <c r="A407" s="1" t="s">
        <v>927</v>
      </c>
    </row>
    <row r="408">
      <c r="A408" s="1" t="s">
        <v>928</v>
      </c>
    </row>
    <row r="409">
      <c r="A409" s="1" t="s">
        <v>929</v>
      </c>
    </row>
    <row r="410">
      <c r="A410" s="1" t="s">
        <v>930</v>
      </c>
    </row>
    <row r="411">
      <c r="A411" s="1" t="s">
        <v>931</v>
      </c>
    </row>
    <row r="412">
      <c r="A412" s="1" t="s">
        <v>932</v>
      </c>
    </row>
    <row r="413">
      <c r="A413" s="1" t="s">
        <v>933</v>
      </c>
    </row>
    <row r="414">
      <c r="A414" s="1" t="s">
        <v>934</v>
      </c>
    </row>
    <row r="415">
      <c r="A415" s="1" t="s">
        <v>935</v>
      </c>
    </row>
    <row r="416">
      <c r="A416" s="1" t="s">
        <v>936</v>
      </c>
    </row>
    <row r="417">
      <c r="A417" s="1" t="s">
        <v>937</v>
      </c>
    </row>
    <row r="418">
      <c r="A418" s="1" t="s">
        <v>938</v>
      </c>
    </row>
    <row r="419">
      <c r="A419" s="1" t="s">
        <v>939</v>
      </c>
    </row>
    <row r="420">
      <c r="A420" s="1" t="s">
        <v>940</v>
      </c>
    </row>
    <row r="421">
      <c r="A421" s="1" t="s">
        <v>941</v>
      </c>
    </row>
    <row r="422">
      <c r="A422" s="1" t="s">
        <v>942</v>
      </c>
    </row>
    <row r="423">
      <c r="A423" s="1" t="s">
        <v>943</v>
      </c>
    </row>
    <row r="424">
      <c r="A424" s="1" t="s">
        <v>944</v>
      </c>
    </row>
    <row r="425">
      <c r="A425" s="1" t="s">
        <v>945</v>
      </c>
    </row>
    <row r="426">
      <c r="A426" s="1" t="s">
        <v>946</v>
      </c>
    </row>
    <row r="427">
      <c r="A427" s="1" t="s">
        <v>947</v>
      </c>
    </row>
    <row r="428">
      <c r="A428" s="1" t="s">
        <v>948</v>
      </c>
    </row>
    <row r="429">
      <c r="A429" s="1" t="s">
        <v>949</v>
      </c>
    </row>
    <row r="430">
      <c r="A430" s="1" t="s">
        <v>950</v>
      </c>
    </row>
    <row r="431">
      <c r="A431" s="1" t="s">
        <v>951</v>
      </c>
    </row>
    <row r="432">
      <c r="A432" s="1" t="s">
        <v>952</v>
      </c>
    </row>
    <row r="433">
      <c r="A433" s="1" t="s">
        <v>953</v>
      </c>
    </row>
    <row r="434">
      <c r="A434" s="1" t="s">
        <v>954</v>
      </c>
    </row>
    <row r="435">
      <c r="A435" s="1" t="s">
        <v>955</v>
      </c>
    </row>
    <row r="436">
      <c r="A436" s="1" t="s">
        <v>956</v>
      </c>
    </row>
    <row r="437">
      <c r="A437" s="1" t="s">
        <v>957</v>
      </c>
    </row>
    <row r="438">
      <c r="A438" s="1" t="s">
        <v>958</v>
      </c>
    </row>
    <row r="439">
      <c r="A439" s="1" t="s">
        <v>959</v>
      </c>
    </row>
    <row r="440">
      <c r="A440" s="1" t="s">
        <v>960</v>
      </c>
    </row>
    <row r="441">
      <c r="A441" s="1" t="s">
        <v>961</v>
      </c>
    </row>
    <row r="442">
      <c r="A442" s="1" t="s">
        <v>962</v>
      </c>
    </row>
    <row r="443">
      <c r="A443" s="1" t="s">
        <v>963</v>
      </c>
    </row>
    <row r="444">
      <c r="A444" s="1" t="s">
        <v>964</v>
      </c>
    </row>
    <row r="445">
      <c r="A445" s="1" t="s">
        <v>965</v>
      </c>
    </row>
    <row r="446">
      <c r="A446" s="1" t="s">
        <v>966</v>
      </c>
    </row>
    <row r="447">
      <c r="A447" s="1" t="s">
        <v>967</v>
      </c>
    </row>
    <row r="448">
      <c r="A448" s="1" t="s">
        <v>968</v>
      </c>
    </row>
    <row r="449">
      <c r="A449" s="1" t="s">
        <v>969</v>
      </c>
    </row>
    <row r="450">
      <c r="A450" s="1" t="s">
        <v>970</v>
      </c>
    </row>
    <row r="451">
      <c r="A451" s="1" t="s">
        <v>971</v>
      </c>
    </row>
    <row r="452">
      <c r="A452" s="1" t="s">
        <v>972</v>
      </c>
    </row>
    <row r="453">
      <c r="A453" s="1" t="s">
        <v>973</v>
      </c>
    </row>
    <row r="454">
      <c r="A454" s="1" t="s">
        <v>974</v>
      </c>
    </row>
    <row r="455">
      <c r="A455" s="1" t="s">
        <v>975</v>
      </c>
    </row>
    <row r="456">
      <c r="A456" s="1" t="s">
        <v>976</v>
      </c>
    </row>
    <row r="457">
      <c r="A457" s="1" t="s">
        <v>977</v>
      </c>
    </row>
    <row r="458">
      <c r="A458" s="1" t="s">
        <v>978</v>
      </c>
    </row>
    <row r="459">
      <c r="A459" s="1" t="s">
        <v>979</v>
      </c>
    </row>
    <row r="460">
      <c r="A460" s="1" t="s">
        <v>980</v>
      </c>
    </row>
    <row r="461">
      <c r="A461" s="1" t="s">
        <v>981</v>
      </c>
    </row>
    <row r="462">
      <c r="A462" s="1" t="s">
        <v>982</v>
      </c>
    </row>
  </sheetData>
  <drawing r:id="rId1"/>
</worksheet>
</file>